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SANGEETA\Desktop\Anshu Kumari\"/>
    </mc:Choice>
  </mc:AlternateContent>
  <xr:revisionPtr revIDLastSave="0" documentId="13_ncr:1_{7AE25922-D6FA-425B-86F0-EB802B148CDF}" xr6:coauthVersionLast="47" xr6:coauthVersionMax="47" xr10:uidLastSave="{00000000-0000-0000-0000-000000000000}"/>
  <workbookProtection workbookAlgorithmName="SHA-512" workbookHashValue="1OSpgCu2td4nmSI26PutrI+HzujpEToSq1jXF6PdI53YGKjYqDRnFLiSuhmYuefKkgz3npvMdZywT0nsh/vzyw==" workbookSaltValue="fE+tUpyHDPB1I6G0IBXuIg==" workbookSpinCount="100000" lockStructure="1"/>
  <bookViews>
    <workbookView xWindow="-108" yWindow="-108" windowWidth="23256" windowHeight="12456" activeTab="1" xr2:uid="{439FD2FD-9D3D-45A9-9B78-B9017565ABDC}"/>
  </bookViews>
  <sheets>
    <sheet name="Pivot Report" sheetId="1" r:id="rId1"/>
    <sheet name="Dashboard" sheetId="4" r:id="rId2"/>
    <sheet name="Daily ER No. of patient" sheetId="5" r:id="rId3"/>
    <sheet name="Average Wait time" sheetId="6" r:id="rId4"/>
    <sheet name="Average Satisfaction Score" sheetId="7" r:id="rId5"/>
  </sheets>
  <definedNames>
    <definedName name="Slicer_Date__Month">#N/A</definedName>
    <definedName name="Slicer_Date__Year">#N/A</definedName>
  </definedNames>
  <calcPr calcId="191029"/>
  <pivotCaches>
    <pivotCache cacheId="159" r:id="rId6"/>
    <pivotCache cacheId="162" r:id="rId7"/>
    <pivotCache cacheId="165" r:id="rId8"/>
    <pivotCache cacheId="168" r:id="rId9"/>
    <pivotCache cacheId="171" r:id="rId10"/>
    <pivotCache cacheId="174" r:id="rId11"/>
    <pivotCache cacheId="177" r:id="rId12"/>
    <pivotCache cacheId="180" r:id="rId13"/>
    <pivotCache cacheId="183" r:id="rId14"/>
    <pivotCache cacheId="186" r:id="rId15"/>
    <pivotCache cacheId="189" r:id="rId16"/>
    <pivotCache cacheId="19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e53e217-edbb-4639-9e1f-e32e3c698494" name="Hospital Emergency Room Data" connection="Query - Hospital Emergency Room Data"/>
          <x15:modelTable id="Calender_Table_289be45d-1a51-4b65-9c55-e4807feeb772"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1" l="1"/>
  <c r="A53" i="1"/>
  <c r="C52" i="1"/>
  <c r="B53" i="1"/>
  <c r="C53"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BEDE22-5AC6-4368-921C-B4271CF8595D}" name="Query - Calender_Table" description="Connection to the 'Calender_Table' query in the workbook." type="100" refreshedVersion="8" minRefreshableVersion="5">
    <extLst>
      <ext xmlns:x15="http://schemas.microsoft.com/office/spreadsheetml/2010/11/main" uri="{DE250136-89BD-433C-8126-D09CA5730AF9}">
        <x15:connection id="79b538bc-2db3-49b6-86c2-bd8b4f395ca2"/>
      </ext>
    </extLst>
  </connection>
  <connection id="2" xr16:uid="{0B024D59-7B2C-41B1-B069-A7CED84849BD}"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223ce66-0a86-4415-94e1-d75178d9c00c"/>
      </ext>
    </extLst>
  </connection>
  <connection id="3" xr16:uid="{5232130F-6226-4F26-A123-973ED9D04A1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<sst xmlns="http://schemas.openxmlformats.org/spreadsheetml/2006/main" count="154" uniqueCount="79">
  <si>
    <t>Row Labels</t>
  </si>
  <si>
    <t>Grand Total</t>
  </si>
  <si>
    <t>Distinct Count of Patient Id</t>
  </si>
  <si>
    <t>No. of patient</t>
  </si>
  <si>
    <t>Male</t>
  </si>
  <si>
    <t>None</t>
  </si>
  <si>
    <t>Admitted</t>
  </si>
  <si>
    <t>60-69</t>
  </si>
  <si>
    <t>Delay</t>
  </si>
  <si>
    <t>70-79</t>
  </si>
  <si>
    <t>10-19</t>
  </si>
  <si>
    <t>On Time</t>
  </si>
  <si>
    <t>40-49</t>
  </si>
  <si>
    <t>50-59</t>
  </si>
  <si>
    <t>0-09</t>
  </si>
  <si>
    <t>30-39</t>
  </si>
  <si>
    <t>Female</t>
  </si>
  <si>
    <t>Not Admitted</t>
  </si>
  <si>
    <t>Average of Patient Waittime</t>
  </si>
  <si>
    <t>Average of Patient Satisfaction Score</t>
  </si>
  <si>
    <t>Average of Patient Saticfaction Score</t>
  </si>
  <si>
    <t>Row Levels</t>
  </si>
  <si>
    <t>Daily Trends of no. of Patient</t>
  </si>
  <si>
    <t>Average Wait Time</t>
  </si>
  <si>
    <t>Average of Patient Wait time</t>
  </si>
  <si>
    <t>Average Satisfaction Score</t>
  </si>
  <si>
    <t>Count of Patient Admission Flag</t>
  </si>
  <si>
    <t>Count of Patient Admission Flag2</t>
  </si>
  <si>
    <t>Admission Status</t>
  </si>
  <si>
    <t>No. of Patient</t>
  </si>
  <si>
    <t>% Status</t>
  </si>
  <si>
    <t>Count of Age Group</t>
  </si>
  <si>
    <t>Count of Patient attend Status</t>
  </si>
  <si>
    <t>Attended Status</t>
  </si>
  <si>
    <t>Count of Patient Gender</t>
  </si>
  <si>
    <t>Gender Wise Analysis</t>
  </si>
  <si>
    <t>Cardiology</t>
  </si>
  <si>
    <t>Gastroenterology</t>
  </si>
  <si>
    <t>General Practice</t>
  </si>
  <si>
    <t>Neurology</t>
  </si>
  <si>
    <t>Orthopedics</t>
  </si>
  <si>
    <t>Physiotherapy</t>
  </si>
  <si>
    <t>Renal</t>
  </si>
  <si>
    <t>Count of Department Referral</t>
  </si>
  <si>
    <t>Year Wise Report</t>
  </si>
  <si>
    <t>No. of Patient by Department Referal</t>
  </si>
  <si>
    <t>No. of Patient by Age Group</t>
  </si>
  <si>
    <t>REPORT OF HOSPITAL EMERGENCY ROOM</t>
  </si>
  <si>
    <t>2024</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</si>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</sst>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Aptos Narrow"/>
      <family val="2"/>
      <scheme val="minor"/>
    </font>
    <font>
      <sz val="11"/>
      <color theme="1"/>
      <name val="Aptos Narrow"/>
      <family val="2"/>
      <scheme val="minor"/>
    </font>
    <font>
      <b/>
      <sz val="14"/>
      <color theme="1"/>
      <name val="Aptos Narrow"/>
      <family val="2"/>
      <scheme val="minor"/>
    </font>
    <font>
      <sz val="16"/>
      <color theme="1"/>
      <name val="Aptos Narrow"/>
      <family val="2"/>
      <scheme val="minor"/>
    </font>
    <font>
      <b/>
      <sz val="16"/>
      <color theme="1"/>
      <name val="Aptos Narrow"/>
      <family val="2"/>
      <scheme val="minor"/>
    </font>
    <font>
      <sz val="12"/>
      <color theme="1"/>
      <name val="Aptos Narrow"/>
      <family val="2"/>
      <scheme val="minor"/>
    </font>
    <font>
      <sz val="14"/>
      <color theme="1"/>
      <name val="Aptos Narrow"/>
      <family val="2"/>
      <scheme val="minor"/>
    </font>
    <font>
      <b/>
      <sz val="15"/>
      <color theme="1"/>
      <name val="Aptos Narrow"/>
      <family val="2"/>
      <scheme val="minor"/>
    </font>
    <font>
      <sz val="15"/>
      <color theme="1"/>
      <name val="Aptos Narrow"/>
      <family val="2"/>
      <scheme val="minor"/>
    </font>
    <font>
      <sz val="13"/>
      <color theme="1"/>
      <name val="Aptos Narrow"/>
      <family val="2"/>
      <scheme val="minor"/>
    </font>
    <font>
      <b/>
      <sz val="48"/>
      <color theme="1"/>
      <name val="Aptos Narrow"/>
      <family val="2"/>
      <scheme val="minor"/>
    </font>
  </fonts>
  <fills count="7">
    <fill>
      <patternFill patternType="none"/>
    </fill>
    <fill>
      <patternFill patternType="gray125"/>
    </fill>
    <fill>
      <patternFill patternType="solid">
        <fgColor theme="3" tint="9.9978637043366805E-2"/>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0.249977111117893"/>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56">
    <xf numFmtId="0" fontId="0" fillId="0" borderId="0" xfId="0"/>
    <xf numFmtId="0" fontId="0" fillId="0" borderId="0" xfId="0" applyAlignment="1">
      <alignment horizontal="left"/>
    </xf>
    <xf numFmtId="2" fontId="0" fillId="0" borderId="0" xfId="0" applyNumberFormat="1"/>
    <xf numFmtId="0" fontId="0" fillId="2" borderId="0" xfId="0" applyFill="1"/>
    <xf numFmtId="0" fontId="0" fillId="3" borderId="0" xfId="0" applyFill="1"/>
    <xf numFmtId="0" fontId="4" fillId="0" borderId="0" xfId="0" applyFont="1"/>
    <xf numFmtId="2" fontId="0" fillId="0" borderId="0" xfId="0" applyNumberFormat="1" applyAlignment="1">
      <alignment horizontal="right" indent="1"/>
    </xf>
    <xf numFmtId="2" fontId="0" fillId="0" borderId="0" xfId="0" applyNumberFormat="1" applyAlignment="1">
      <alignment horizontal="right"/>
    </xf>
    <xf numFmtId="10" fontId="0" fillId="0" borderId="0" xfId="0" applyNumberFormat="1"/>
    <xf numFmtId="0" fontId="3" fillId="4" borderId="0" xfId="0" applyFont="1" applyFill="1"/>
    <xf numFmtId="1" fontId="6" fillId="4" borderId="0" xfId="0" applyNumberFormat="1" applyFont="1" applyFill="1" applyAlignment="1">
      <alignment horizontal="center"/>
    </xf>
    <xf numFmtId="0" fontId="6" fillId="4" borderId="0" xfId="0" applyFont="1" applyFill="1" applyAlignment="1">
      <alignment horizontal="center"/>
    </xf>
    <xf numFmtId="0" fontId="0" fillId="0" borderId="0" xfId="0" applyAlignment="1">
      <alignment horizontal="center"/>
    </xf>
    <xf numFmtId="9" fontId="6" fillId="4" borderId="0" xfId="1" applyFont="1" applyFill="1" applyAlignment="1">
      <alignment horizontal="center"/>
    </xf>
    <xf numFmtId="0" fontId="6" fillId="0" borderId="0" xfId="0" applyFont="1" applyAlignment="1">
      <alignment horizontal="left"/>
    </xf>
    <xf numFmtId="2" fontId="6" fillId="0" borderId="0" xfId="0" applyNumberFormat="1" applyFont="1"/>
    <xf numFmtId="10" fontId="6" fillId="0" borderId="0" xfId="0" applyNumberFormat="1" applyFont="1"/>
    <xf numFmtId="0" fontId="6" fillId="0" borderId="0" xfId="0" applyFont="1" applyAlignment="1">
      <alignment horizontal="left" vertical="center"/>
    </xf>
    <xf numFmtId="1" fontId="6" fillId="0" borderId="0" xfId="0" applyNumberFormat="1" applyFont="1" applyAlignment="1">
      <alignment vertical="center"/>
    </xf>
    <xf numFmtId="1" fontId="6" fillId="0" borderId="0" xfId="0" applyNumberFormat="1" applyFont="1"/>
    <xf numFmtId="0" fontId="4" fillId="0" borderId="0" xfId="0" applyFont="1" applyAlignment="1">
      <alignment horizontal="center"/>
    </xf>
    <xf numFmtId="1" fontId="6" fillId="0" borderId="0" xfId="0" applyNumberFormat="1" applyFont="1" applyAlignment="1">
      <alignment horizontal="right"/>
    </xf>
    <xf numFmtId="0" fontId="7" fillId="0" borderId="0" xfId="0" pivotButton="1" applyFont="1"/>
    <xf numFmtId="0" fontId="7" fillId="0" borderId="0" xfId="0" applyFont="1"/>
    <xf numFmtId="0" fontId="7" fillId="0" borderId="0" xfId="0" applyFont="1" applyAlignment="1">
      <alignment horizontal="left"/>
    </xf>
    <xf numFmtId="0" fontId="8" fillId="0" borderId="0" xfId="0" pivotButton="1" applyFont="1"/>
    <xf numFmtId="0" fontId="2" fillId="0" borderId="0" xfId="0" applyFont="1" applyAlignment="1">
      <alignment horizontal="left"/>
    </xf>
    <xf numFmtId="1" fontId="7" fillId="0" borderId="0" xfId="0" applyNumberFormat="1" applyFont="1"/>
    <xf numFmtId="0" fontId="7" fillId="5" borderId="0" xfId="0" applyFont="1" applyFill="1" applyAlignment="1">
      <alignment horizontal="center"/>
    </xf>
    <xf numFmtId="0" fontId="7" fillId="5" borderId="0" xfId="0" applyFont="1" applyFill="1"/>
    <xf numFmtId="0" fontId="7" fillId="0" borderId="0" xfId="0" applyFont="1" applyAlignment="1">
      <alignment wrapText="1"/>
    </xf>
    <xf numFmtId="0" fontId="9" fillId="0" borderId="0" xfId="0" applyFont="1"/>
    <xf numFmtId="14" fontId="5" fillId="0" borderId="0" xfId="0" pivotButton="1" applyNumberFormat="1" applyFont="1"/>
    <xf numFmtId="0" fontId="5" fillId="0" borderId="0" xfId="0" applyFont="1"/>
    <xf numFmtId="14" fontId="5" fillId="0" borderId="0" xfId="0" pivotButton="1" applyNumberFormat="1" applyFont="1" applyAlignment="1">
      <alignment horizontal="left"/>
    </xf>
    <xf numFmtId="0" fontId="5" fillId="0" borderId="0" xfId="0" applyFont="1" applyAlignment="1">
      <alignment horizontal="left" indent="2"/>
    </xf>
    <xf numFmtId="0" fontId="5" fillId="0" borderId="0" xfId="0" applyFont="1" applyAlignment="1">
      <alignment horizontal="left"/>
    </xf>
    <xf numFmtId="2" fontId="5" fillId="0" borderId="0" xfId="0" applyNumberFormat="1" applyFont="1" applyAlignment="1">
      <alignment horizontal="right" indent="1"/>
    </xf>
    <xf numFmtId="0" fontId="4" fillId="0" borderId="0" xfId="0" applyFont="1" applyAlignment="1">
      <alignment vertical="center"/>
    </xf>
    <xf numFmtId="0" fontId="0" fillId="0" borderId="0" xfId="0" applyAlignment="1">
      <alignment vertical="center"/>
    </xf>
    <xf numFmtId="0" fontId="6" fillId="0" borderId="1" xfId="0" applyFont="1" applyBorder="1"/>
    <xf numFmtId="0" fontId="2" fillId="0" borderId="1" xfId="0" applyFont="1" applyBorder="1"/>
    <xf numFmtId="2" fontId="6" fillId="0" borderId="1" xfId="0" applyNumberFormat="1" applyFont="1" applyBorder="1"/>
    <xf numFmtId="2" fontId="5" fillId="0" borderId="1" xfId="0" applyNumberFormat="1" applyFont="1" applyBorder="1"/>
    <xf numFmtId="0" fontId="4" fillId="0" borderId="0" xfId="0" applyFont="1" applyAlignment="1">
      <alignment horizontal="center"/>
    </xf>
    <xf numFmtId="0" fontId="4" fillId="0" borderId="0" xfId="0" applyFont="1" applyAlignment="1">
      <alignment horizontal="center" vertical="center"/>
    </xf>
    <xf numFmtId="0" fontId="7" fillId="0" borderId="0" xfId="0" applyFont="1" applyAlignment="1">
      <alignment horizontal="center"/>
    </xf>
    <xf numFmtId="0" fontId="10" fillId="6" borderId="0" xfId="0" applyFont="1" applyFill="1" applyAlignment="1">
      <alignment horizontal="right" wrapText="1"/>
    </xf>
    <xf numFmtId="0" fontId="6" fillId="0" borderId="1" xfId="0" applyNumberFormat="1" applyFont="1" applyBorder="1"/>
    <xf numFmtId="0" fontId="0" fillId="0" borderId="0" xfId="0" applyAlignment="1">
      <alignment wrapText="1"/>
    </xf>
    <xf numFmtId="14" fontId="5" fillId="0" borderId="0" xfId="0" pivotButton="1" applyNumberFormat="1" applyFont="1" applyBorder="1"/>
    <xf numFmtId="0" fontId="5" fillId="0" borderId="0" xfId="0" applyFont="1" applyBorder="1"/>
    <xf numFmtId="0" fontId="0" fillId="0" borderId="0" xfId="0" applyBorder="1" applyAlignment="1">
      <alignment horizontal="left"/>
    </xf>
    <xf numFmtId="0" fontId="0" fillId="0" borderId="0" xfId="0" applyNumberFormat="1" applyBorder="1"/>
    <xf numFmtId="0" fontId="8" fillId="0" borderId="0" xfId="0" applyFont="1" applyBorder="1" applyAlignment="1">
      <alignment horizontal="left"/>
    </xf>
    <xf numFmtId="0" fontId="8" fillId="0" borderId="0" xfId="0" applyNumberFormat="1" applyFont="1" applyBorder="1"/>
  </cellXfs>
  <cellStyles count="2">
    <cellStyle name="Normal" xfId="0" builtinId="0"/>
    <cellStyle name="Percent" xfId="1" builtinId="5"/>
  </cellStyles>
  <dxfs count="998">
    <dxf>
      <font>
        <sz val="16"/>
      </font>
    </dxf>
    <dxf>
      <font>
        <b/>
      </font>
    </dxf>
    <dxf>
      <font>
        <sz val="16"/>
      </font>
    </dxf>
    <dxf>
      <font>
        <b/>
      </font>
    </dxf>
    <dxf>
      <font>
        <b/>
      </font>
    </dxf>
    <dxf>
      <numFmt numFmtId="1" formatCode="0"/>
    </dxf>
    <dxf>
      <font>
        <sz val="16"/>
      </font>
    </dxf>
    <dxf>
      <font>
        <b val="0"/>
      </font>
    </dxf>
    <dxf>
      <font>
        <sz val="15"/>
      </font>
    </dxf>
    <dxf>
      <font>
        <sz val="15"/>
      </font>
    </dxf>
    <dxf>
      <font>
        <sz val="14"/>
      </font>
    </dxf>
    <dxf>
      <font>
        <b/>
      </font>
    </dxf>
    <dxf>
      <font>
        <b/>
      </font>
    </dxf>
    <dxf>
      <font>
        <b/>
      </font>
    </dxf>
    <dxf>
      <font>
        <b/>
      </font>
    </dxf>
    <dxf>
      <numFmt numFmtId="1" formatCode="0"/>
    </dxf>
    <dxf>
      <font>
        <sz val="16"/>
      </font>
    </dxf>
    <dxf>
      <font>
        <b/>
      </font>
    </dxf>
    <dxf>
      <font>
        <sz val="14"/>
      </font>
    </dxf>
    <dxf>
      <font>
        <sz val="14"/>
      </font>
    </dxf>
    <dxf>
      <alignment horizontal="left"/>
    </dxf>
    <dxf>
      <alignment horizontal="right"/>
    </dxf>
    <dxf>
      <numFmt numFmtId="1" formatCode="0"/>
    </dxf>
    <dxf>
      <font>
        <sz val="15"/>
      </font>
    </dxf>
    <dxf>
      <font>
        <sz val="15"/>
      </font>
    </dxf>
    <dxf>
      <font>
        <sz val="15"/>
      </font>
    </dxf>
    <dxf>
      <font>
        <sz val="15"/>
      </font>
    </dxf>
    <dxf>
      <font>
        <b/>
      </font>
    </dxf>
    <dxf>
      <font>
        <b/>
      </font>
    </dxf>
    <dxf>
      <font>
        <b/>
      </font>
    </dxf>
    <dxf>
      <numFmt numFmtId="1" formatCode="0"/>
    </dxf>
    <dxf>
      <font>
        <sz val="16"/>
      </font>
    </dxf>
    <dxf>
      <font>
        <sz val="14"/>
      </font>
    </dxf>
    <dxf>
      <font>
        <sz val="14"/>
      </font>
    </dxf>
    <dxf>
      <font>
        <b/>
      </font>
    </dxf>
    <dxf>
      <font>
        <sz val="15"/>
      </font>
    </dxf>
    <dxf>
      <font>
        <sz val="15"/>
      </font>
    </dxf>
    <dxf>
      <font>
        <sz val="15"/>
      </font>
    </dxf>
    <dxf>
      <font>
        <sz val="15"/>
      </font>
    </dxf>
    <dxf>
      <font>
        <b/>
      </font>
    </dxf>
    <dxf>
      <font>
        <b/>
      </font>
    </dxf>
    <dxf>
      <font>
        <b/>
      </font>
    </dxf>
    <dxf>
      <numFmt numFmtId="1" formatCode="0"/>
    </dxf>
    <dxf>
      <font>
        <sz val="14"/>
      </font>
    </dxf>
    <dxf>
      <font>
        <sz val="14"/>
      </font>
    </dxf>
    <dxf>
      <font>
        <sz val="15"/>
      </font>
    </dxf>
    <dxf>
      <font>
        <sz val="15"/>
      </font>
    </dxf>
    <dxf>
      <font>
        <sz val="15"/>
      </font>
    </dxf>
    <dxf>
      <font>
        <sz val="15"/>
      </font>
    </dxf>
    <dxf>
      <alignment vertical="center"/>
    </dxf>
    <dxf>
      <alignment vertical="center"/>
    </dxf>
    <dxf>
      <font>
        <sz val="14"/>
      </font>
    </dxf>
    <dxf>
      <font>
        <sz val="14"/>
      </font>
    </dxf>
    <dxf>
      <font>
        <b/>
      </font>
    </dxf>
    <dxf>
      <font>
        <b/>
      </font>
    </dxf>
    <dxf>
      <font>
        <b/>
      </font>
    </dxf>
    <dxf>
      <font>
        <b/>
      </font>
    </dxf>
    <dxf>
      <numFmt numFmtId="1" formatCode="0"/>
    </dxf>
    <dxf>
      <font>
        <sz val="15"/>
      </font>
    </dxf>
    <dxf>
      <font>
        <sz val="15"/>
      </font>
    </dxf>
    <dxf>
      <font>
        <sz val="15"/>
      </font>
    </dxf>
    <dxf>
      <font>
        <sz val="15"/>
      </font>
    </dxf>
    <dxf>
      <numFmt numFmtId="2" formatCode="0.00"/>
    </dxf>
    <dxf>
      <numFmt numFmtId="14" formatCode="0.00%"/>
    </dxf>
    <dxf>
      <alignment wrapText="1"/>
    </dxf>
    <dxf>
      <alignment wrapText="1"/>
    </dxf>
    <dxf>
      <font>
        <sz val="14"/>
      </font>
    </dxf>
    <dxf>
      <font>
        <sz val="14"/>
      </font>
    </dxf>
    <dxf>
      <font>
        <b/>
      </font>
    </dxf>
    <dxf>
      <font>
        <b/>
      </font>
    </dxf>
    <dxf>
      <font>
        <sz val="15"/>
      </font>
    </dxf>
    <dxf>
      <font>
        <sz val="15"/>
      </font>
    </dxf>
    <dxf>
      <numFmt numFmtId="19" formatCode="dd/mm/yyyy"/>
    </dxf>
    <dxf>
      <alignment horizontal="right"/>
    </dxf>
    <dxf>
      <numFmt numFmtId="2" formatCode="0.00"/>
    </dxf>
    <dxf>
      <font>
        <sz val="12"/>
      </font>
    </dxf>
    <dxf>
      <font>
        <sz val="12"/>
      </font>
    </dxf>
    <dxf>
      <numFmt numFmtId="19" formatCode="dd/mm/yyyy"/>
    </dxf>
    <dxf>
      <alignment horizontal="lef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right" indent="1"/>
    </dxf>
    <dxf>
      <font>
        <sz val="12"/>
      </font>
    </dxf>
    <dxf>
      <font>
        <sz val="12"/>
      </font>
    </dxf>
    <dxf>
      <font>
        <sz val="12"/>
      </font>
    </dxf>
    <dxf>
      <font>
        <sz val="12"/>
      </font>
    </dxf>
    <dxf>
      <numFmt numFmtId="2" formatCode="0.00"/>
    </dxf>
    <dxf>
      <font>
        <sz val="14"/>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font>
        <sz val="15"/>
      </font>
    </dxf>
    <dxf>
      <font>
        <sz val="15"/>
      </font>
    </dxf>
    <dxf>
      <font>
        <sz val="12"/>
      </font>
    </dxf>
    <dxf>
      <font>
        <sz val="12"/>
      </font>
    </dxf>
    <dxf>
      <font>
        <sz val="12"/>
      </font>
    </dxf>
    <dxf>
      <font>
        <sz val="1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sz val="16"/>
      </font>
    </dxf>
    <dxf>
      <font>
        <b/>
      </font>
    </dxf>
    <dxf>
      <font>
        <sz val="16"/>
      </font>
    </dxf>
    <dxf>
      <font>
        <b/>
      </font>
    </dxf>
    <dxf>
      <font>
        <b/>
      </font>
    </dxf>
    <dxf>
      <numFmt numFmtId="1" formatCode="0"/>
    </dxf>
    <dxf>
      <font>
        <sz val="16"/>
      </font>
    </dxf>
    <dxf>
      <font>
        <b val="0"/>
      </font>
    </dxf>
    <dxf>
      <font>
        <sz val="15"/>
      </font>
    </dxf>
    <dxf>
      <font>
        <sz val="15"/>
      </font>
    </dxf>
    <dxf>
      <font>
        <sz val="14"/>
      </font>
    </dxf>
    <dxf>
      <font>
        <b/>
      </font>
    </dxf>
    <dxf>
      <font>
        <b/>
      </font>
    </dxf>
    <dxf>
      <font>
        <b/>
      </font>
    </dxf>
    <dxf>
      <font>
        <b/>
      </font>
    </dxf>
    <dxf>
      <numFmt numFmtId="1" formatCode="0"/>
    </dxf>
    <dxf>
      <font>
        <sz val="16"/>
      </font>
    </dxf>
    <dxf>
      <font>
        <b/>
      </font>
    </dxf>
    <dxf>
      <font>
        <sz val="14"/>
      </font>
    </dxf>
    <dxf>
      <font>
        <sz val="14"/>
      </font>
    </dxf>
    <dxf>
      <alignment horizontal="left"/>
    </dxf>
    <dxf>
      <alignment horizontal="right"/>
    </dxf>
    <dxf>
      <numFmt numFmtId="1" formatCode="0"/>
    </dxf>
    <dxf>
      <font>
        <sz val="15"/>
      </font>
    </dxf>
    <dxf>
      <font>
        <sz val="15"/>
      </font>
    </dxf>
    <dxf>
      <font>
        <sz val="15"/>
      </font>
    </dxf>
    <dxf>
      <font>
        <sz val="15"/>
      </font>
    </dxf>
    <dxf>
      <font>
        <b/>
      </font>
    </dxf>
    <dxf>
      <font>
        <b/>
      </font>
    </dxf>
    <dxf>
      <font>
        <b/>
      </font>
    </dxf>
    <dxf>
      <numFmt numFmtId="1" formatCode="0"/>
    </dxf>
    <dxf>
      <font>
        <sz val="16"/>
      </font>
    </dxf>
    <dxf>
      <font>
        <sz val="14"/>
      </font>
    </dxf>
    <dxf>
      <font>
        <sz val="14"/>
      </font>
    </dxf>
    <dxf>
      <font>
        <b/>
      </font>
    </dxf>
    <dxf>
      <font>
        <sz val="15"/>
      </font>
    </dxf>
    <dxf>
      <font>
        <sz val="15"/>
      </font>
    </dxf>
    <dxf>
      <font>
        <sz val="15"/>
      </font>
    </dxf>
    <dxf>
      <font>
        <sz val="15"/>
      </font>
    </dxf>
    <dxf>
      <font>
        <b/>
      </font>
    </dxf>
    <dxf>
      <font>
        <b/>
      </font>
    </dxf>
    <dxf>
      <font>
        <b/>
      </font>
    </dxf>
    <dxf>
      <numFmt numFmtId="1" formatCode="0"/>
    </dxf>
    <dxf>
      <font>
        <sz val="14"/>
      </font>
    </dxf>
    <dxf>
      <font>
        <sz val="14"/>
      </font>
    </dxf>
    <dxf>
      <font>
        <sz val="15"/>
      </font>
    </dxf>
    <dxf>
      <font>
        <sz val="15"/>
      </font>
    </dxf>
    <dxf>
      <font>
        <sz val="15"/>
      </font>
    </dxf>
    <dxf>
      <font>
        <sz val="15"/>
      </font>
    </dxf>
    <dxf>
      <alignment vertical="center"/>
    </dxf>
    <dxf>
      <alignment vertical="center"/>
    </dxf>
    <dxf>
      <font>
        <sz val="14"/>
      </font>
    </dxf>
    <dxf>
      <font>
        <sz val="14"/>
      </font>
    </dxf>
    <dxf>
      <font>
        <b/>
      </font>
    </dxf>
    <dxf>
      <font>
        <b/>
      </font>
    </dxf>
    <dxf>
      <font>
        <b/>
      </font>
    </dxf>
    <dxf>
      <font>
        <b/>
      </font>
    </dxf>
    <dxf>
      <numFmt numFmtId="1" formatCode="0"/>
    </dxf>
    <dxf>
      <font>
        <sz val="15"/>
      </font>
    </dxf>
    <dxf>
      <font>
        <sz val="15"/>
      </font>
    </dxf>
    <dxf>
      <font>
        <sz val="15"/>
      </font>
    </dxf>
    <dxf>
      <font>
        <sz val="15"/>
      </font>
    </dxf>
    <dxf>
      <numFmt numFmtId="2" formatCode="0.00"/>
    </dxf>
    <dxf>
      <numFmt numFmtId="14" formatCode="0.00%"/>
    </dxf>
    <dxf>
      <alignment wrapText="1"/>
    </dxf>
    <dxf>
      <alignment wrapText="1"/>
    </dxf>
    <dxf>
      <font>
        <sz val="14"/>
      </font>
    </dxf>
    <dxf>
      <font>
        <sz val="14"/>
      </font>
    </dxf>
    <dxf>
      <font>
        <b/>
      </font>
    </dxf>
    <dxf>
      <font>
        <b/>
      </font>
    </dxf>
    <dxf>
      <font>
        <sz val="15"/>
      </font>
    </dxf>
    <dxf>
      <font>
        <sz val="15"/>
      </font>
    </dxf>
    <dxf>
      <numFmt numFmtId="19" formatCode="dd/mm/yyyy"/>
    </dxf>
    <dxf>
      <alignment horizontal="right"/>
    </dxf>
    <dxf>
      <numFmt numFmtId="2" formatCode="0.00"/>
    </dxf>
    <dxf>
      <font>
        <sz val="12"/>
      </font>
    </dxf>
    <dxf>
      <font>
        <sz val="12"/>
      </font>
    </dxf>
    <dxf>
      <numFmt numFmtId="19" formatCode="dd/mm/yyyy"/>
    </dxf>
    <dxf>
      <alignment horizontal="lef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right" indent="1"/>
    </dxf>
    <dxf>
      <font>
        <sz val="12"/>
      </font>
    </dxf>
    <dxf>
      <font>
        <sz val="12"/>
      </font>
    </dxf>
    <dxf>
      <font>
        <sz val="12"/>
      </font>
    </dxf>
    <dxf>
      <font>
        <sz val="12"/>
      </font>
    </dxf>
    <dxf>
      <numFmt numFmtId="2" formatCode="0.00"/>
    </dxf>
    <dxf>
      <font>
        <sz val="14"/>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font>
        <sz val="15"/>
      </font>
    </dxf>
    <dxf>
      <font>
        <sz val="15"/>
      </font>
    </dxf>
    <dxf>
      <font>
        <sz val="12"/>
      </font>
    </dxf>
    <dxf>
      <font>
        <sz val="12"/>
      </font>
    </dxf>
    <dxf>
      <font>
        <sz val="12"/>
      </font>
    </dxf>
    <dxf>
      <font>
        <sz val="1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sz val="16"/>
      </font>
    </dxf>
    <dxf>
      <font>
        <b/>
      </font>
    </dxf>
    <dxf>
      <font>
        <sz val="16"/>
      </font>
    </dxf>
    <dxf>
      <font>
        <b/>
      </font>
    </dxf>
    <dxf>
      <font>
        <b/>
      </font>
    </dxf>
    <dxf>
      <numFmt numFmtId="1" formatCode="0"/>
    </dxf>
    <dxf>
      <font>
        <sz val="16"/>
      </font>
    </dxf>
    <dxf>
      <font>
        <b val="0"/>
      </font>
    </dxf>
    <dxf>
      <font>
        <sz val="15"/>
      </font>
    </dxf>
    <dxf>
      <font>
        <sz val="15"/>
      </font>
    </dxf>
    <dxf>
      <font>
        <sz val="14"/>
      </font>
    </dxf>
    <dxf>
      <font>
        <b/>
      </font>
    </dxf>
    <dxf>
      <font>
        <b/>
      </font>
    </dxf>
    <dxf>
      <font>
        <b/>
      </font>
    </dxf>
    <dxf>
      <font>
        <b/>
      </font>
    </dxf>
    <dxf>
      <numFmt numFmtId="1" formatCode="0"/>
    </dxf>
    <dxf>
      <font>
        <sz val="16"/>
      </font>
    </dxf>
    <dxf>
      <font>
        <b/>
      </font>
    </dxf>
    <dxf>
      <font>
        <sz val="14"/>
      </font>
    </dxf>
    <dxf>
      <font>
        <sz val="14"/>
      </font>
    </dxf>
    <dxf>
      <alignment horizontal="left"/>
    </dxf>
    <dxf>
      <alignment horizontal="right"/>
    </dxf>
    <dxf>
      <numFmt numFmtId="1" formatCode="0"/>
    </dxf>
    <dxf>
      <font>
        <sz val="15"/>
      </font>
    </dxf>
    <dxf>
      <font>
        <sz val="15"/>
      </font>
    </dxf>
    <dxf>
      <font>
        <sz val="15"/>
      </font>
    </dxf>
    <dxf>
      <font>
        <sz val="15"/>
      </font>
    </dxf>
    <dxf>
      <font>
        <b/>
      </font>
    </dxf>
    <dxf>
      <font>
        <b/>
      </font>
    </dxf>
    <dxf>
      <font>
        <b/>
      </font>
    </dxf>
    <dxf>
      <numFmt numFmtId="1" formatCode="0"/>
    </dxf>
    <dxf>
      <font>
        <sz val="16"/>
      </font>
    </dxf>
    <dxf>
      <font>
        <sz val="14"/>
      </font>
    </dxf>
    <dxf>
      <font>
        <sz val="14"/>
      </font>
    </dxf>
    <dxf>
      <font>
        <b/>
      </font>
    </dxf>
    <dxf>
      <font>
        <sz val="15"/>
      </font>
    </dxf>
    <dxf>
      <font>
        <sz val="15"/>
      </font>
    </dxf>
    <dxf>
      <font>
        <sz val="15"/>
      </font>
    </dxf>
    <dxf>
      <font>
        <sz val="15"/>
      </font>
    </dxf>
    <dxf>
      <font>
        <b/>
      </font>
    </dxf>
    <dxf>
      <font>
        <b/>
      </font>
    </dxf>
    <dxf>
      <font>
        <b/>
      </font>
    </dxf>
    <dxf>
      <numFmt numFmtId="1" formatCode="0"/>
    </dxf>
    <dxf>
      <font>
        <sz val="14"/>
      </font>
    </dxf>
    <dxf>
      <font>
        <sz val="14"/>
      </font>
    </dxf>
    <dxf>
      <font>
        <sz val="15"/>
      </font>
    </dxf>
    <dxf>
      <font>
        <sz val="15"/>
      </font>
    </dxf>
    <dxf>
      <font>
        <sz val="15"/>
      </font>
    </dxf>
    <dxf>
      <font>
        <sz val="15"/>
      </font>
    </dxf>
    <dxf>
      <alignment vertical="center"/>
    </dxf>
    <dxf>
      <alignment vertical="center"/>
    </dxf>
    <dxf>
      <font>
        <sz val="14"/>
      </font>
    </dxf>
    <dxf>
      <font>
        <sz val="14"/>
      </font>
    </dxf>
    <dxf>
      <font>
        <b/>
      </font>
    </dxf>
    <dxf>
      <font>
        <b/>
      </font>
    </dxf>
    <dxf>
      <font>
        <b/>
      </font>
    </dxf>
    <dxf>
      <font>
        <b/>
      </font>
    </dxf>
    <dxf>
      <numFmt numFmtId="1" formatCode="0"/>
    </dxf>
    <dxf>
      <font>
        <sz val="15"/>
      </font>
    </dxf>
    <dxf>
      <font>
        <sz val="15"/>
      </font>
    </dxf>
    <dxf>
      <font>
        <sz val="15"/>
      </font>
    </dxf>
    <dxf>
      <font>
        <sz val="15"/>
      </font>
    </dxf>
    <dxf>
      <numFmt numFmtId="2" formatCode="0.00"/>
    </dxf>
    <dxf>
      <numFmt numFmtId="14" formatCode="0.00%"/>
    </dxf>
    <dxf>
      <alignment wrapText="1"/>
    </dxf>
    <dxf>
      <alignment wrapText="1"/>
    </dxf>
    <dxf>
      <font>
        <sz val="14"/>
      </font>
    </dxf>
    <dxf>
      <font>
        <sz val="14"/>
      </font>
    </dxf>
    <dxf>
      <font>
        <b/>
      </font>
    </dxf>
    <dxf>
      <font>
        <b/>
      </font>
    </dxf>
    <dxf>
      <font>
        <sz val="15"/>
      </font>
    </dxf>
    <dxf>
      <font>
        <sz val="15"/>
      </font>
    </dxf>
    <dxf>
      <numFmt numFmtId="19" formatCode="dd/mm/yyyy"/>
    </dxf>
    <dxf>
      <alignment horizontal="right"/>
    </dxf>
    <dxf>
      <numFmt numFmtId="2" formatCode="0.00"/>
    </dxf>
    <dxf>
      <font>
        <sz val="12"/>
      </font>
    </dxf>
    <dxf>
      <font>
        <sz val="12"/>
      </font>
    </dxf>
    <dxf>
      <numFmt numFmtId="19" formatCode="dd/mm/yyyy"/>
    </dxf>
    <dxf>
      <alignment horizontal="lef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right" indent="1"/>
    </dxf>
    <dxf>
      <font>
        <sz val="12"/>
      </font>
    </dxf>
    <dxf>
      <font>
        <sz val="12"/>
      </font>
    </dxf>
    <dxf>
      <font>
        <sz val="12"/>
      </font>
    </dxf>
    <dxf>
      <font>
        <sz val="12"/>
      </font>
    </dxf>
    <dxf>
      <numFmt numFmtId="2" formatCode="0.00"/>
    </dxf>
    <dxf>
      <font>
        <sz val="14"/>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font>
        <sz val="15"/>
      </font>
    </dxf>
    <dxf>
      <font>
        <sz val="15"/>
      </font>
    </dxf>
    <dxf>
      <font>
        <sz val="12"/>
      </font>
    </dxf>
    <dxf>
      <font>
        <sz val="12"/>
      </font>
    </dxf>
    <dxf>
      <font>
        <sz val="12"/>
      </font>
    </dxf>
    <dxf>
      <font>
        <sz val="12"/>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sz val="16"/>
      </font>
    </dxf>
    <dxf>
      <font>
        <b/>
      </font>
    </dxf>
    <dxf>
      <font>
        <sz val="16"/>
      </font>
    </dxf>
    <dxf>
      <font>
        <b/>
      </font>
    </dxf>
    <dxf>
      <font>
        <b/>
      </font>
    </dxf>
    <dxf>
      <numFmt numFmtId="1" formatCode="0"/>
    </dxf>
    <dxf>
      <font>
        <sz val="16"/>
      </font>
    </dxf>
    <dxf>
      <font>
        <b val="0"/>
      </font>
    </dxf>
    <dxf>
      <font>
        <sz val="15"/>
      </font>
    </dxf>
    <dxf>
      <font>
        <sz val="15"/>
      </font>
    </dxf>
    <dxf>
      <font>
        <sz val="14"/>
      </font>
    </dxf>
    <dxf>
      <font>
        <b/>
      </font>
    </dxf>
    <dxf>
      <font>
        <b/>
      </font>
    </dxf>
    <dxf>
      <font>
        <b/>
      </font>
    </dxf>
    <dxf>
      <font>
        <b/>
      </font>
    </dxf>
    <dxf>
      <numFmt numFmtId="1" formatCode="0"/>
    </dxf>
    <dxf>
      <font>
        <sz val="16"/>
      </font>
    </dxf>
    <dxf>
      <font>
        <b/>
      </font>
    </dxf>
    <dxf>
      <font>
        <sz val="14"/>
      </font>
    </dxf>
    <dxf>
      <font>
        <sz val="14"/>
      </font>
    </dxf>
    <dxf>
      <alignment horizontal="left"/>
    </dxf>
    <dxf>
      <alignment horizontal="right"/>
    </dxf>
    <dxf>
      <numFmt numFmtId="1" formatCode="0"/>
    </dxf>
    <dxf>
      <font>
        <sz val="15"/>
      </font>
    </dxf>
    <dxf>
      <font>
        <sz val="15"/>
      </font>
    </dxf>
    <dxf>
      <font>
        <sz val="15"/>
      </font>
    </dxf>
    <dxf>
      <font>
        <sz val="15"/>
      </font>
    </dxf>
    <dxf>
      <font>
        <b/>
      </font>
    </dxf>
    <dxf>
      <font>
        <b/>
      </font>
    </dxf>
    <dxf>
      <font>
        <b/>
      </font>
    </dxf>
    <dxf>
      <numFmt numFmtId="1" formatCode="0"/>
    </dxf>
    <dxf>
      <font>
        <sz val="16"/>
      </font>
    </dxf>
    <dxf>
      <font>
        <sz val="14"/>
      </font>
    </dxf>
    <dxf>
      <font>
        <sz val="14"/>
      </font>
    </dxf>
    <dxf>
      <font>
        <b/>
      </font>
    </dxf>
    <dxf>
      <font>
        <sz val="15"/>
      </font>
    </dxf>
    <dxf>
      <font>
        <sz val="15"/>
      </font>
    </dxf>
    <dxf>
      <font>
        <sz val="15"/>
      </font>
    </dxf>
    <dxf>
      <font>
        <sz val="15"/>
      </font>
    </dxf>
    <dxf>
      <font>
        <b/>
      </font>
    </dxf>
    <dxf>
      <font>
        <b/>
      </font>
    </dxf>
    <dxf>
      <font>
        <b/>
      </font>
    </dxf>
    <dxf>
      <numFmt numFmtId="1" formatCode="0"/>
    </dxf>
    <dxf>
      <font>
        <sz val="14"/>
      </font>
    </dxf>
    <dxf>
      <font>
        <sz val="14"/>
      </font>
    </dxf>
    <dxf>
      <font>
        <sz val="15"/>
      </font>
    </dxf>
    <dxf>
      <font>
        <sz val="15"/>
      </font>
    </dxf>
    <dxf>
      <font>
        <sz val="15"/>
      </font>
    </dxf>
    <dxf>
      <font>
        <sz val="15"/>
      </font>
    </dxf>
    <dxf>
      <alignment vertical="center"/>
    </dxf>
    <dxf>
      <alignment vertical="center"/>
    </dxf>
    <dxf>
      <font>
        <sz val="14"/>
      </font>
    </dxf>
    <dxf>
      <font>
        <sz val="14"/>
      </font>
    </dxf>
    <dxf>
      <font>
        <b/>
      </font>
    </dxf>
    <dxf>
      <font>
        <b/>
      </font>
    </dxf>
    <dxf>
      <font>
        <b/>
      </font>
    </dxf>
    <dxf>
      <font>
        <b/>
      </font>
    </dxf>
    <dxf>
      <numFmt numFmtId="1" formatCode="0"/>
    </dxf>
    <dxf>
      <font>
        <sz val="15"/>
      </font>
    </dxf>
    <dxf>
      <font>
        <sz val="15"/>
      </font>
    </dxf>
    <dxf>
      <font>
        <sz val="15"/>
      </font>
    </dxf>
    <dxf>
      <font>
        <sz val="15"/>
      </font>
    </dxf>
    <dxf>
      <numFmt numFmtId="2" formatCode="0.00"/>
    </dxf>
    <dxf>
      <numFmt numFmtId="14" formatCode="0.00%"/>
    </dxf>
    <dxf>
      <alignment wrapText="1"/>
    </dxf>
    <dxf>
      <alignment wrapText="1"/>
    </dxf>
    <dxf>
      <font>
        <sz val="14"/>
      </font>
    </dxf>
    <dxf>
      <font>
        <sz val="14"/>
      </font>
    </dxf>
    <dxf>
      <font>
        <b/>
      </font>
    </dxf>
    <dxf>
      <font>
        <b/>
      </font>
    </dxf>
    <dxf>
      <font>
        <sz val="15"/>
      </font>
    </dxf>
    <dxf>
      <font>
        <sz val="15"/>
      </font>
    </dxf>
    <dxf>
      <numFmt numFmtId="19" formatCode="dd/mm/yyyy"/>
    </dxf>
    <dxf>
      <alignment horizontal="right"/>
    </dxf>
    <dxf>
      <numFmt numFmtId="2" formatCode="0.00"/>
    </dxf>
    <dxf>
      <font>
        <sz val="12"/>
      </font>
    </dxf>
    <dxf>
      <font>
        <sz val="12"/>
      </font>
    </dxf>
    <dxf>
      <numFmt numFmtId="19" formatCode="dd/mm/yyyy"/>
    </dxf>
    <dxf>
      <alignment horizontal="lef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right" indent="1"/>
    </dxf>
    <dxf>
      <font>
        <sz val="12"/>
      </font>
    </dxf>
    <dxf>
      <font>
        <sz val="12"/>
      </font>
    </dxf>
    <dxf>
      <font>
        <sz val="12"/>
      </font>
    </dxf>
    <dxf>
      <font>
        <sz val="12"/>
      </font>
    </dxf>
    <dxf>
      <numFmt numFmtId="2" formatCode="0.00"/>
    </dxf>
    <dxf>
      <font>
        <sz val="14"/>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9" formatCode="dd/mm/yyyy"/>
    </dxf>
    <dxf>
      <font>
        <sz val="15"/>
      </font>
    </dxf>
    <dxf>
      <font>
        <sz val="15"/>
      </font>
    </dxf>
    <dxf>
      <font>
        <sz val="12"/>
      </font>
    </dxf>
    <dxf>
      <font>
        <sz val="12"/>
      </font>
    </dxf>
    <dxf>
      <font>
        <sz val="12"/>
      </font>
    </dxf>
    <dxf>
      <font>
        <sz val="12"/>
      </fon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19" formatCode="dd/mm/yyyy"/>
    </dxf>
    <dxf>
      <font>
        <sz val="15"/>
      </font>
    </dxf>
    <dxf>
      <font>
        <sz val="15"/>
      </font>
    </dxf>
    <dxf>
      <font>
        <sz val="12"/>
      </font>
    </dxf>
    <dxf>
      <font>
        <sz val="12"/>
      </font>
    </dxf>
    <dxf>
      <font>
        <sz val="12"/>
      </font>
    </dxf>
    <dxf>
      <font>
        <sz val="12"/>
      </font>
    </dxf>
    <dxf>
      <border>
        <left/>
        <right/>
        <top/>
        <bottom/>
      </border>
    </dxf>
    <dxf>
      <border>
        <left/>
        <right/>
        <top/>
        <bottom/>
      </border>
    </dxf>
    <dxf>
      <border>
        <left/>
        <right/>
        <top/>
        <bottom/>
      </border>
    </dxf>
    <dxf>
      <border>
        <left/>
        <right/>
        <top/>
        <bottom/>
      </border>
    </dxf>
    <dxf>
      <border>
        <left/>
        <right/>
        <top/>
        <bottom/>
      </border>
    </dxf>
    <dxf>
      <border>
        <left/>
        <right/>
        <top/>
        <bottom/>
      </border>
    </dxf>
    <dxf>
      <numFmt numFmtId="2" formatCode="0.00"/>
    </dxf>
    <dxf>
      <font>
        <sz val="14"/>
      </font>
    </dxf>
    <dxf>
      <font>
        <sz val="1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numFmt numFmtId="1" formatCode="0"/>
    </dxf>
    <dxf>
      <font>
        <sz val="16"/>
      </font>
    </dxf>
    <dxf>
      <font>
        <b/>
      </font>
    </dxf>
    <dxf>
      <font>
        <sz val="14"/>
      </font>
    </dxf>
    <dxf>
      <font>
        <sz val="14"/>
      </font>
    </dxf>
    <dxf>
      <alignment horizontal="left"/>
    </dxf>
    <dxf>
      <alignment horizontal="right"/>
    </dxf>
    <dxf>
      <numFmt numFmtId="1" formatCode="0"/>
    </dxf>
    <dxf>
      <font>
        <sz val="15"/>
      </font>
    </dxf>
    <dxf>
      <font>
        <sz val="15"/>
      </font>
    </dxf>
    <dxf>
      <font>
        <sz val="15"/>
      </font>
    </dxf>
    <dxf>
      <font>
        <sz val="15"/>
      </font>
    </dxf>
    <dxf>
      <font>
        <b/>
      </font>
    </dxf>
    <dxf>
      <font>
        <b/>
      </font>
    </dxf>
    <dxf>
      <font>
        <b/>
      </font>
    </dxf>
    <dxf>
      <numFmt numFmtId="1" formatCode="0"/>
    </dxf>
    <dxf>
      <font>
        <sz val="16"/>
      </font>
    </dxf>
    <dxf>
      <font>
        <sz val="14"/>
      </font>
    </dxf>
    <dxf>
      <font>
        <sz val="14"/>
      </font>
    </dxf>
    <dxf>
      <font>
        <b/>
      </font>
    </dxf>
    <dxf>
      <font>
        <sz val="15"/>
      </font>
    </dxf>
    <dxf>
      <font>
        <sz val="15"/>
      </font>
    </dxf>
    <dxf>
      <font>
        <sz val="15"/>
      </font>
    </dxf>
    <dxf>
      <font>
        <sz val="15"/>
      </font>
    </dxf>
    <dxf>
      <font>
        <b/>
      </font>
    </dxf>
    <dxf>
      <font>
        <b/>
      </font>
    </dxf>
    <dxf>
      <font>
        <b/>
      </font>
    </dxf>
    <dxf>
      <numFmt numFmtId="1" formatCode="0"/>
    </dxf>
    <dxf>
      <font>
        <sz val="14"/>
      </font>
    </dxf>
    <dxf>
      <font>
        <sz val="14"/>
      </font>
    </dxf>
    <dxf>
      <font>
        <sz val="15"/>
      </font>
    </dxf>
    <dxf>
      <font>
        <sz val="15"/>
      </font>
    </dxf>
    <dxf>
      <font>
        <sz val="15"/>
      </font>
    </dxf>
    <dxf>
      <font>
        <sz val="15"/>
      </font>
    </dxf>
    <dxf>
      <numFmt numFmtId="2" formatCode="0.00"/>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font>
        <sz val="14"/>
      </font>
    </dxf>
    <dxf>
      <font>
        <sz val="14"/>
      </font>
    </dxf>
    <dxf>
      <font>
        <b/>
      </font>
    </dxf>
    <dxf>
      <font>
        <b/>
      </font>
    </dxf>
    <dxf>
      <font>
        <b/>
      </font>
    </dxf>
    <dxf>
      <font>
        <b/>
      </font>
    </dxf>
    <dxf>
      <numFmt numFmtId="1" formatCode="0"/>
    </dxf>
    <dxf>
      <font>
        <sz val="15"/>
      </font>
    </dxf>
    <dxf>
      <font>
        <sz val="15"/>
      </font>
    </dxf>
    <dxf>
      <font>
        <sz val="15"/>
      </font>
    </dxf>
    <dxf>
      <font>
        <sz val="15"/>
      </font>
    </dxf>
    <dxf>
      <numFmt numFmtId="2" formatCode="0.00"/>
    </dxf>
    <dxf>
      <numFmt numFmtId="14" formatCode="0.00%"/>
    </dxf>
    <dxf>
      <alignment wrapText="1"/>
    </dxf>
    <dxf>
      <alignment wrapText="1"/>
    </dxf>
    <dxf>
      <font>
        <sz val="14"/>
      </font>
    </dxf>
    <dxf>
      <font>
        <sz val="14"/>
      </font>
    </dxf>
    <dxf>
      <font>
        <b/>
      </font>
    </dxf>
    <dxf>
      <font>
        <b/>
      </font>
    </dxf>
    <dxf>
      <font>
        <sz val="15"/>
      </font>
    </dxf>
    <dxf>
      <font>
        <sz val="15"/>
      </font>
    </dxf>
    <dxf>
      <numFmt numFmtId="19" formatCode="dd/mm/yyyy"/>
    </dxf>
    <dxf>
      <alignment horizontal="right"/>
    </dxf>
    <dxf>
      <numFmt numFmtId="2" formatCode="0.00"/>
    </dxf>
    <dxf>
      <font>
        <sz val="12"/>
      </font>
    </dxf>
    <dxf>
      <font>
        <sz val="12"/>
      </font>
    </dxf>
    <dxf>
      <numFmt numFmtId="19" formatCode="dd/mm/yyyy"/>
    </dxf>
    <dxf>
      <alignment horizontal="lef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numFmt numFmtId="2" formatCode="0.00"/>
    </dxf>
    <dxf>
      <alignment horizontal="right" indent="1"/>
    </dxf>
    <dxf>
      <font>
        <sz val="12"/>
      </font>
    </dxf>
    <dxf>
      <font>
        <sz val="12"/>
      </font>
    </dxf>
    <dxf>
      <font>
        <sz val="12"/>
      </font>
    </dxf>
    <dxf>
      <font>
        <sz val="12"/>
      </font>
    </dxf>
    <dxf>
      <font>
        <b/>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6"/>
      </font>
    </dxf>
    <dxf>
      <font>
        <b/>
      </font>
    </dxf>
    <dxf>
      <font>
        <sz val="16"/>
      </font>
    </dxf>
    <dxf>
      <font>
        <b/>
      </font>
    </dxf>
    <dxf>
      <font>
        <b/>
      </font>
    </dxf>
    <dxf>
      <numFmt numFmtId="1" formatCode="0"/>
    </dxf>
    <dxf>
      <font>
        <sz val="16"/>
      </font>
    </dxf>
    <dxf>
      <font>
        <b val="0"/>
      </font>
    </dxf>
    <dxf>
      <font>
        <sz val="15"/>
      </font>
    </dxf>
    <dxf>
      <font>
        <sz val="15"/>
      </font>
    </dxf>
    <dxf>
      <font>
        <sz val="14"/>
      </font>
    </dxf>
    <dxf>
      <font>
        <b/>
      </font>
    </dxf>
    <dxf>
      <font>
        <sz val="15"/>
      </font>
    </dxf>
    <dxf>
      <font>
        <sz val="15"/>
      </font>
    </dxf>
    <dxf>
      <font>
        <sz val="15"/>
      </font>
    </dxf>
    <dxf>
      <font>
        <sz val="15"/>
      </font>
    </dxf>
    <dxf>
      <numFmt numFmtId="1" formatCode="0"/>
    </dxf>
    <dxf>
      <alignment horizontal="right"/>
    </dxf>
    <dxf>
      <alignment horizontal="left"/>
    </dxf>
    <dxf>
      <font>
        <sz val="14"/>
      </font>
    </dxf>
    <dxf>
      <font>
        <sz val="14"/>
      </font>
    </dxf>
    <dxf>
      <font>
        <b/>
      </font>
    </dxf>
    <dxf>
      <font>
        <sz val="16"/>
      </font>
    </dxf>
    <dxf>
      <numFmt numFmtId="1" formatCode="0"/>
    </dxf>
    <dxf>
      <font>
        <b/>
      </font>
    </dxf>
    <dxf>
      <font>
        <b/>
      </font>
    </dxf>
    <dxf>
      <font>
        <b/>
      </font>
    </dxf>
    <dxf>
      <font>
        <sz val="15"/>
      </font>
    </dxf>
    <dxf>
      <font>
        <sz val="15"/>
      </font>
    </dxf>
    <dxf>
      <font>
        <b/>
      </font>
    </dxf>
    <dxf>
      <font>
        <b/>
      </font>
    </dxf>
    <dxf>
      <font>
        <sz val="14"/>
      </font>
    </dxf>
    <dxf>
      <font>
        <sz val="14"/>
      </font>
    </dxf>
    <dxf>
      <alignment wrapText="1"/>
    </dxf>
    <dxf>
      <alignment wrapText="1"/>
    </dxf>
    <dxf>
      <numFmt numFmtId="14" formatCode="0.00%"/>
    </dxf>
    <dxf>
      <numFmt numFmtId="2" formatCode="0.00"/>
    </dxf>
    <dxf>
      <font>
        <sz val="15"/>
      </font>
    </dxf>
    <dxf>
      <font>
        <sz val="15"/>
      </font>
    </dxf>
    <dxf>
      <font>
        <sz val="15"/>
      </font>
    </dxf>
    <dxf>
      <font>
        <sz val="15"/>
      </font>
    </dxf>
    <dxf>
      <font>
        <sz val="14"/>
      </font>
    </dxf>
    <dxf>
      <font>
        <sz val="14"/>
      </font>
    </dxf>
    <dxf>
      <numFmt numFmtId="1" formatCode="0"/>
    </dxf>
    <dxf>
      <font>
        <b/>
      </font>
    </dxf>
    <dxf>
      <font>
        <b/>
      </font>
    </dxf>
    <dxf>
      <font>
        <b/>
      </font>
    </dxf>
    <dxf>
      <font>
        <sz val="12"/>
      </font>
    </dxf>
    <dxf>
      <font>
        <sz val="12"/>
      </font>
    </dxf>
    <dxf>
      <font>
        <sz val="12"/>
      </font>
    </dxf>
    <dxf>
      <font>
        <sz val="12"/>
      </font>
    </dxf>
    <dxf>
      <alignment horizontal="right" indent="1"/>
    </dxf>
    <dxf>
      <numFmt numFmtId="2" formatCode="0.00"/>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relativeIndent="1"/>
    </dxf>
    <dxf>
      <alignment horizontal="left" relativeIndent="1"/>
    </dxf>
    <dxf>
      <alignment horizontal="left" relativeIndent="1"/>
    </dxf>
    <dxf>
      <alignment horizontal="left" relativeIndent="1"/>
    </dxf>
    <dxf>
      <alignment relativeIndent="-1"/>
    </dxf>
    <dxf>
      <alignment relativeIndent="-1"/>
    </dxf>
    <dxf>
      <alignment relativeIndent="-1"/>
    </dxf>
    <dxf>
      <alignment relativeIndent="1"/>
    </dxf>
    <dxf>
      <alignment relativeIndent="1"/>
    </dxf>
    <dxf>
      <alignment horizontal="left" relativeIndent="1"/>
    </dxf>
    <dxf>
      <numFmt numFmtId="19" formatCode="dd/mm/yyyy"/>
    </dxf>
    <dxf>
      <font>
        <sz val="15"/>
      </font>
    </dxf>
    <dxf>
      <font>
        <sz val="15"/>
      </font>
    </dxf>
    <dxf>
      <font>
        <sz val="15"/>
      </font>
    </dxf>
    <dxf>
      <font>
        <sz val="15"/>
      </font>
    </dxf>
    <dxf>
      <numFmt numFmtId="1" formatCode="0"/>
    </dxf>
    <dxf>
      <font>
        <b/>
      </font>
    </dxf>
    <dxf>
      <font>
        <b/>
      </font>
    </dxf>
    <dxf>
      <font>
        <b/>
      </font>
    </dxf>
    <dxf>
      <font>
        <b/>
      </font>
    </dxf>
    <dxf>
      <font>
        <sz val="14"/>
      </font>
    </dxf>
    <dxf>
      <font>
        <sz val="14"/>
      </font>
    </dxf>
    <dxf>
      <alignment vertical="center"/>
    </dxf>
    <dxf>
      <alignment vertical="center"/>
    </dxf>
    <dxf>
      <font>
        <b/>
      </font>
    </dxf>
    <dxf>
      <font>
        <sz val="14"/>
      </font>
    </dxf>
    <dxf>
      <font>
        <sz val="15"/>
      </font>
    </dxf>
    <dxf>
      <font>
        <sz val="15"/>
      </font>
    </dxf>
    <dxf>
      <font>
        <b val="0"/>
      </font>
    </dxf>
    <dxf>
      <font>
        <sz val="16"/>
      </font>
    </dxf>
    <dxf>
      <numFmt numFmtId="1" formatCode="0"/>
    </dxf>
    <dxf>
      <font>
        <b/>
      </font>
    </dxf>
    <dxf>
      <font>
        <b/>
      </font>
    </dxf>
    <dxf>
      <font>
        <sz val="16"/>
      </font>
    </dxf>
    <dxf>
      <font>
        <b/>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2"/>
      </font>
    </dxf>
    <dxf>
      <font>
        <sz val="14"/>
      </font>
    </dxf>
    <dxf>
      <numFmt numFmtId="2" formatCode="0.00"/>
    </dxf>
    <dxf>
      <font>
        <sz val="15"/>
      </font>
    </dxf>
    <dxf>
      <font>
        <sz val="15"/>
      </font>
    </dxf>
    <dxf>
      <font>
        <sz val="15"/>
      </font>
    </dxf>
    <dxf>
      <font>
        <sz val="15"/>
      </font>
    </dxf>
    <dxf>
      <font>
        <b/>
      </font>
    </dxf>
    <dxf>
      <font>
        <sz val="14"/>
      </font>
    </dxf>
    <dxf>
      <font>
        <sz val="14"/>
      </font>
    </dxf>
    <dxf>
      <font>
        <sz val="16"/>
      </font>
    </dxf>
    <dxf>
      <numFmt numFmtId="1" formatCode="0"/>
    </dxf>
    <dxf>
      <font>
        <b/>
      </font>
    </dxf>
    <dxf>
      <font>
        <b/>
      </font>
    </dxf>
    <dxf>
      <font>
        <b/>
      </font>
    </dxf>
    <dxf>
      <border>
        <left/>
        <right/>
        <top/>
        <bottom/>
      </border>
    </dxf>
    <dxf>
      <border>
        <left/>
        <right/>
        <top/>
        <bottom/>
      </border>
    </dxf>
    <dxf>
      <border>
        <left/>
        <right/>
        <top/>
        <bottom/>
      </border>
    </dxf>
    <dxf>
      <border>
        <left/>
        <right/>
        <top/>
        <bottom/>
      </border>
    </dxf>
    <dxf>
      <border>
        <left/>
        <right/>
        <top/>
        <bottom/>
      </border>
    </dxf>
    <dxf>
      <border>
        <left/>
        <right/>
        <top/>
        <bottom/>
      </border>
    </dxf>
    <dxf>
      <font>
        <sz val="12"/>
      </font>
    </dxf>
    <dxf>
      <font>
        <sz val="12"/>
      </font>
    </dxf>
    <dxf>
      <font>
        <sz val="12"/>
      </font>
    </dxf>
    <dxf>
      <font>
        <sz val="12"/>
      </font>
    </dxf>
    <dxf>
      <font>
        <sz val="15"/>
      </font>
    </dxf>
    <dxf>
      <font>
        <sz val="15"/>
      </font>
    </dxf>
    <dxf>
      <numFmt numFmtId="19" formatCode="dd/mm/yyyy"/>
    </dxf>
    <dxf>
      <font>
        <sz val="12"/>
      </font>
    </dxf>
    <dxf>
      <font>
        <sz val="12"/>
      </font>
    </dxf>
    <dxf>
      <numFmt numFmtId="2" formatCode="0.00"/>
    </dxf>
    <dxf>
      <alignment horizontal="right"/>
    </dxf>
    <dxf>
      <numFmt numFmtId="19" formatCode="dd/mm/yyyy"/>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sz val="14"/>
      </font>
    </dxf>
    <dxf>
      <font>
        <b/>
      </font>
    </dxf>
    <dxf>
      <font>
        <b/>
        <color theme="1"/>
      </font>
      <border>
        <bottom style="thin">
          <color theme="5"/>
        </bottom>
        <vertical/>
        <horizontal/>
      </border>
    </dxf>
    <dxf>
      <font>
        <b/>
        <i val="0"/>
        <sz val="14"/>
        <color theme="1"/>
      </font>
      <fill>
        <patternFill>
          <bgColor theme="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407B6D95-F12B-4AB8-8D66-E89FC872B253}">
      <tableStyleElement type="wholeTable" dxfId="997"/>
      <tableStyleElement type="headerRow" dxfId="99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Report!PivotTable14</c:name>
    <c:fmtId val="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15:spPr xmlns:c15="http://schemas.microsoft.com/office/drawing/2012/chart">
                <a:prstGeom prst="rect">
                  <a:avLst/>
                </a:prstGeom>
              </c15:spPr>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a:lstStyle/>
              <a:p>
                <a:fld id="{7BEF43A0-C78D-48D1-851F-669314358F4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6BF428BD-14C0-4A75-B2CE-175121709C3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pivotFmt>
      <c:pivotFmt>
        <c:idx val="5"/>
        <c:dLbl>
          <c:idx val="0"/>
          <c:tx>
            <c:rich>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8EEACAD-5159-44B2-97EE-327659C85EB4}" type="VALUE">
                  <a:rPr lang="en-US"/>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1.9372543901625558E-2"/>
          <c:y val="4.5383389576302974E-2"/>
          <c:w val="0.98062745609837443"/>
          <c:h val="0.95054654932839278"/>
        </c:manualLayout>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cat>
            <c:strRef>
              <c:f>'Pivot Report'!$A$44:$A$46</c:f>
              <c:strCache>
                <c:ptCount val="2"/>
                <c:pt idx="0">
                  <c:v>Admitted</c:v>
                </c:pt>
                <c:pt idx="1">
                  <c:v>Not Admitted</c:v>
                </c:pt>
              </c:strCache>
            </c:strRef>
          </c:cat>
          <c:val>
            <c:numRef>
              <c:f>'Pivot Report'!$B$44:$B$46</c:f>
              <c:numCache>
                <c:formatCode>0.00</c:formatCode>
                <c:ptCount val="2"/>
                <c:pt idx="0">
                  <c:v>236</c:v>
                </c:pt>
                <c:pt idx="1">
                  <c:v>230</c:v>
                </c:pt>
              </c:numCache>
            </c:numRef>
          </c:val>
          <c:extLst>
            <c:ext xmlns:c16="http://schemas.microsoft.com/office/drawing/2014/chart" uri="{C3380CC4-5D6E-409C-BE32-E72D297353CC}">
              <c16:uniqueId val="{00000005-4918-4A85-8242-1D9D276C88E0}"/>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Admitted</c:v>
                </c:pt>
                <c:pt idx="1">
                  <c:v>Not Admitted</c:v>
                </c:pt>
              </c:strCache>
            </c:strRef>
          </c:cat>
          <c:val>
            <c:numRef>
              <c:f>'Pivot Report'!$C$44:$C$46</c:f>
              <c:numCache>
                <c:formatCode>0.00%</c:formatCode>
                <c:ptCount val="2"/>
                <c:pt idx="0">
                  <c:v>0.50643776824034337</c:v>
                </c:pt>
                <c:pt idx="1">
                  <c:v>0.49356223175965663</c:v>
                </c:pt>
              </c:numCache>
            </c:numRef>
          </c:val>
          <c:extLst>
            <c:ext xmlns:c16="http://schemas.microsoft.com/office/drawing/2014/chart" uri="{C3380CC4-5D6E-409C-BE32-E72D297353CC}">
              <c16:uniqueId val="{00000006-4918-4A85-8242-1D9D276C88E0}"/>
            </c:ext>
          </c:extLst>
        </c:ser>
        <c:dLbls>
          <c:showLegendKey val="0"/>
          <c:showVal val="0"/>
          <c:showCatName val="0"/>
          <c:showSerName val="0"/>
          <c:showPercent val="0"/>
          <c:showBubbleSize val="0"/>
        </c:dLbls>
        <c:gapWidth val="182"/>
        <c:axId val="461012735"/>
        <c:axId val="461011775"/>
      </c:barChart>
      <c:catAx>
        <c:axId val="461012735"/>
        <c:scaling>
          <c:orientation val="minMax"/>
        </c:scaling>
        <c:delete val="1"/>
        <c:axPos val="l"/>
        <c:numFmt formatCode="General" sourceLinked="1"/>
        <c:majorTickMark val="none"/>
        <c:minorTickMark val="none"/>
        <c:tickLblPos val="nextTo"/>
        <c:crossAx val="461011775"/>
        <c:crosses val="autoZero"/>
        <c:auto val="1"/>
        <c:lblAlgn val="ctr"/>
        <c:lblOffset val="100"/>
        <c:noMultiLvlLbl val="0"/>
      </c:catAx>
      <c:valAx>
        <c:axId val="461011775"/>
        <c:scaling>
          <c:orientation val="minMax"/>
        </c:scaling>
        <c:delete val="1"/>
        <c:axPos val="b"/>
        <c:majorGridlines>
          <c:spPr>
            <a:ln w="9525" cap="flat" cmpd="sng" algn="ctr">
              <a:noFill/>
              <a:round/>
            </a:ln>
            <a:effectLst/>
          </c:spPr>
        </c:majorGridlines>
        <c:numFmt formatCode="0.00" sourceLinked="1"/>
        <c:majorTickMark val="none"/>
        <c:minorTickMark val="none"/>
        <c:tickLblPos val="nextTo"/>
        <c:crossAx val="4610127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847403601597178E-2"/>
          <c:y val="8.1605476381446367E-3"/>
          <c:w val="0.82456140350877194"/>
          <c:h val="0.34596153421998721"/>
        </c:manualLayout>
      </c:layout>
      <c:areaChart>
        <c:grouping val="stacked"/>
        <c:varyColors val="0"/>
        <c:ser>
          <c:idx val="0"/>
          <c:order val="0"/>
          <c:tx>
            <c:strRef>
              <c:f>'Pivot Report'!$E$7</c:f>
              <c:strCache>
                <c:ptCount val="1"/>
                <c:pt idx="0">
                  <c:v>Total</c:v>
                </c:pt>
              </c:strCache>
            </c:strRef>
          </c:tx>
          <c:spPr>
            <a:solidFill>
              <a:schemeClr val="accent1"/>
            </a:solidFill>
            <a:ln w="25400">
              <a:noFill/>
            </a:ln>
            <a:effectLst/>
          </c:spPr>
          <c:cat>
            <c:strRef>
              <c:f>'Pivot Report'!$D$8:$D$38</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Report'!$E$8:$E$38</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1-0B61-4926-88B0-C4E6A41ED02F}"/>
            </c:ext>
          </c:extLst>
        </c:ser>
        <c:dLbls>
          <c:showLegendKey val="0"/>
          <c:showVal val="0"/>
          <c:showCatName val="0"/>
          <c:showSerName val="0"/>
          <c:showPercent val="0"/>
          <c:showBubbleSize val="0"/>
        </c:dLbls>
        <c:axId val="458343887"/>
        <c:axId val="458342447"/>
      </c:areaChart>
      <c:catAx>
        <c:axId val="458343887"/>
        <c:scaling>
          <c:orientation val="minMax"/>
        </c:scaling>
        <c:delete val="1"/>
        <c:axPos val="b"/>
        <c:numFmt formatCode="General" sourceLinked="1"/>
        <c:majorTickMark val="out"/>
        <c:minorTickMark val="none"/>
        <c:tickLblPos val="nextTo"/>
        <c:crossAx val="458342447"/>
        <c:crosses val="autoZero"/>
        <c:auto val="1"/>
        <c:lblAlgn val="ctr"/>
        <c:lblOffset val="100"/>
        <c:noMultiLvlLbl val="0"/>
      </c:catAx>
      <c:valAx>
        <c:axId val="45834244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834388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Report!PivotTable10</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Report'!$I$7</c:f>
              <c:strCache>
                <c:ptCount val="1"/>
                <c:pt idx="0">
                  <c:v>Total</c:v>
                </c:pt>
              </c:strCache>
            </c:strRef>
          </c:tx>
          <c:spPr>
            <a:solidFill>
              <a:schemeClr val="accent1"/>
            </a:solidFill>
            <a:ln w="25400">
              <a:noFill/>
            </a:ln>
            <a:effectLst/>
          </c:spPr>
          <c:cat>
            <c:strRef>
              <c:f>'Pivot Report'!$H$8:$H$38</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Report'!$I$8:$I$38</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1-0F54-4228-A0EC-1D10F473EEE7}"/>
            </c:ext>
          </c:extLst>
        </c:ser>
        <c:dLbls>
          <c:showLegendKey val="0"/>
          <c:showVal val="0"/>
          <c:showCatName val="0"/>
          <c:showSerName val="0"/>
          <c:showPercent val="0"/>
          <c:showBubbleSize val="0"/>
        </c:dLbls>
        <c:axId val="190010831"/>
        <c:axId val="190009391"/>
      </c:areaChart>
      <c:catAx>
        <c:axId val="190010831"/>
        <c:scaling>
          <c:orientation val="minMax"/>
        </c:scaling>
        <c:delete val="1"/>
        <c:axPos val="b"/>
        <c:numFmt formatCode="General" sourceLinked="1"/>
        <c:majorTickMark val="out"/>
        <c:minorTickMark val="none"/>
        <c:tickLblPos val="nextTo"/>
        <c:crossAx val="190009391"/>
        <c:crosses val="autoZero"/>
        <c:auto val="1"/>
        <c:lblAlgn val="ctr"/>
        <c:lblOffset val="100"/>
        <c:noMultiLvlLbl val="0"/>
      </c:catAx>
      <c:valAx>
        <c:axId val="19000939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90010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Report!PivotTable12</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59059404350481E-2"/>
          <c:y val="3.2180881872847705E-2"/>
          <c:w val="0.83246088381709304"/>
          <c:h val="0.62115374379173816"/>
        </c:manualLayout>
      </c:layout>
      <c:areaChart>
        <c:grouping val="standard"/>
        <c:varyColors val="0"/>
        <c:ser>
          <c:idx val="0"/>
          <c:order val="0"/>
          <c:tx>
            <c:strRef>
              <c:f>'Pivot Report'!$N$7</c:f>
              <c:strCache>
                <c:ptCount val="1"/>
                <c:pt idx="0">
                  <c:v>Total</c:v>
                </c:pt>
              </c:strCache>
            </c:strRef>
          </c:tx>
          <c:spPr>
            <a:solidFill>
              <a:schemeClr val="accent1"/>
            </a:solidFill>
            <a:ln w="25400">
              <a:noFill/>
            </a:ln>
            <a:effectLst/>
          </c:spPr>
          <c:cat>
            <c:strRef>
              <c:f>'Pivot Report'!$M$8:$M$37</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Report'!$N$8:$N$37</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1-53CF-4AE1-BDD5-DE25782BFCFA}"/>
            </c:ext>
          </c:extLst>
        </c:ser>
        <c:dLbls>
          <c:showLegendKey val="0"/>
          <c:showVal val="0"/>
          <c:showCatName val="0"/>
          <c:showSerName val="0"/>
          <c:showPercent val="0"/>
          <c:showBubbleSize val="0"/>
        </c:dLbls>
        <c:axId val="1793111440"/>
        <c:axId val="1793110960"/>
      </c:areaChart>
      <c:catAx>
        <c:axId val="1793111440"/>
        <c:scaling>
          <c:orientation val="minMax"/>
        </c:scaling>
        <c:delete val="1"/>
        <c:axPos val="b"/>
        <c:numFmt formatCode="General" sourceLinked="1"/>
        <c:majorTickMark val="out"/>
        <c:minorTickMark val="none"/>
        <c:tickLblPos val="nextTo"/>
        <c:crossAx val="1793110960"/>
        <c:crosses val="autoZero"/>
        <c:auto val="1"/>
        <c:lblAlgn val="ctr"/>
        <c:lblOffset val="100"/>
        <c:noMultiLvlLbl val="0"/>
      </c:catAx>
      <c:valAx>
        <c:axId val="1793110960"/>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93111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26376892018923E-2"/>
          <c:y val="6.8797604511890223E-2"/>
          <c:w val="0.90499486665849593"/>
          <c:h val="0.61027745229995445"/>
        </c:manualLayout>
      </c:layout>
      <c:barChart>
        <c:barDir val="col"/>
        <c:grouping val="clustered"/>
        <c:varyColors val="0"/>
        <c:ser>
          <c:idx val="0"/>
          <c:order val="0"/>
          <c:tx>
            <c:strRef>
              <c:f>'Pivot Report'!$B$58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Report'!$A$59:$A$66</c:f>
              <c:strCache>
                <c:ptCount val="7"/>
                <c:pt idx="0">
                  <c:v>0-09</c:v>
                </c:pt>
                <c:pt idx="1">
                  <c:v>10-19</c:v>
                </c:pt>
                <c:pt idx="2">
                  <c:v>30-39</c:v>
                </c:pt>
                <c:pt idx="3">
                  <c:v>40-49</c:v>
                </c:pt>
                <c:pt idx="4">
                  <c:v>50-59</c:v>
                </c:pt>
                <c:pt idx="5">
                  <c:v>60-69</c:v>
                </c:pt>
                <c:pt idx="6">
                  <c:v>70-79</c:v>
                </c:pt>
              </c:strCache>
            </c:strRef>
          </c:cat>
          <c:val>
            <c:numRef>
              <c:f>'Pivot Report'!$B$59:$B$66</c:f>
              <c:numCache>
                <c:formatCode>0</c:formatCode>
                <c:ptCount val="7"/>
                <c:pt idx="0">
                  <c:v>58</c:v>
                </c:pt>
                <c:pt idx="1">
                  <c:v>125</c:v>
                </c:pt>
                <c:pt idx="2">
                  <c:v>64</c:v>
                </c:pt>
                <c:pt idx="3">
                  <c:v>65</c:v>
                </c:pt>
                <c:pt idx="4">
                  <c:v>52</c:v>
                </c:pt>
                <c:pt idx="5">
                  <c:v>57</c:v>
                </c:pt>
                <c:pt idx="6">
                  <c:v>45</c:v>
                </c:pt>
              </c:numCache>
            </c:numRef>
          </c:val>
          <c:extLst>
            <c:ext xmlns:c16="http://schemas.microsoft.com/office/drawing/2014/chart" uri="{C3380CC4-5D6E-409C-BE32-E72D297353CC}">
              <c16:uniqueId val="{00000001-D8C7-440E-B15B-CE6D9BB559BD}"/>
            </c:ext>
          </c:extLst>
        </c:ser>
        <c:dLbls>
          <c:showLegendKey val="0"/>
          <c:showVal val="0"/>
          <c:showCatName val="0"/>
          <c:showSerName val="0"/>
          <c:showPercent val="0"/>
          <c:showBubbleSize val="0"/>
        </c:dLbls>
        <c:gapWidth val="219"/>
        <c:overlap val="-27"/>
        <c:axId val="494350175"/>
        <c:axId val="494345855"/>
      </c:barChart>
      <c:catAx>
        <c:axId val="494350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94345855"/>
        <c:crosses val="autoZero"/>
        <c:auto val="1"/>
        <c:lblAlgn val="ctr"/>
        <c:lblOffset val="100"/>
        <c:noMultiLvlLbl val="0"/>
      </c:catAx>
      <c:valAx>
        <c:axId val="494345855"/>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94350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Report!PivotTable20</c:name>
    <c:fmtId val="29"/>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5671069625211353E-3"/>
          <c:y val="7.7089924842435653E-2"/>
          <c:w val="0.85441861367781446"/>
          <c:h val="0.85725347468745616"/>
        </c:manualLayout>
      </c:layout>
      <c:pie3DChart>
        <c:varyColors val="1"/>
        <c:ser>
          <c:idx val="0"/>
          <c:order val="0"/>
          <c:tx>
            <c:strRef>
              <c:f>'Pivot Report'!$B$71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F1-4652-8AEE-1062A35731F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F1-4652-8AEE-1062A35731F2}"/>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Report'!$A$72:$A$74</c:f>
              <c:strCache>
                <c:ptCount val="2"/>
                <c:pt idx="0">
                  <c:v>Delay</c:v>
                </c:pt>
                <c:pt idx="1">
                  <c:v>On Time</c:v>
                </c:pt>
              </c:strCache>
            </c:strRef>
          </c:cat>
          <c:val>
            <c:numRef>
              <c:f>'Pivot Report'!$B$72:$B$74</c:f>
              <c:numCache>
                <c:formatCode>0</c:formatCode>
                <c:ptCount val="2"/>
                <c:pt idx="0">
                  <c:v>278</c:v>
                </c:pt>
                <c:pt idx="1">
                  <c:v>188</c:v>
                </c:pt>
              </c:numCache>
            </c:numRef>
          </c:val>
          <c:extLst>
            <c:ext xmlns:c16="http://schemas.microsoft.com/office/drawing/2014/chart" uri="{C3380CC4-5D6E-409C-BE32-E72D297353CC}">
              <c16:uniqueId val="{00000005-CD94-49FB-BB4F-65BF5CA04A6A}"/>
            </c:ext>
          </c:extLst>
        </c:ser>
        <c:dLbls>
          <c:showLegendKey val="0"/>
          <c:showVal val="0"/>
          <c:showCatName val="0"/>
          <c:showSerName val="0"/>
          <c:showPercent val="0"/>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55253398421509425"/>
          <c:y val="2.6569382310974478E-2"/>
          <c:w val="0.39694249255639746"/>
          <c:h val="0.22630668682970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Report!PivotTable22</c:name>
    <c:fmtId val="37"/>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6419B0DA-2381-443D-AA19-312DC36CE6CD}" type="VALUE">
                  <a:rPr lang="en-US" baseline="0"/>
                  <a:pPr>
                    <a:defRPr sz="1000" b="1" i="0" u="none" strike="noStrike" kern="1200" baseline="0">
                      <a:solidFill>
                        <a:schemeClr val="lt1"/>
                      </a:solidFill>
                      <a:latin typeface="+mn-lt"/>
                      <a:ea typeface="+mn-ea"/>
                      <a:cs typeface="+mn-cs"/>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0F9C7C-95BA-47BC-A348-166B7F3CCAF5}"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6419B0DA-2381-443D-AA19-312DC36CE6CD}" type="VALUE">
                  <a:rPr lang="en-US" baseline="0"/>
                  <a:pPr>
                    <a:defRPr sz="1000" b="1" i="0" u="none" strike="noStrike" kern="1200" baseline="0">
                      <a:solidFill>
                        <a:schemeClr val="lt1"/>
                      </a:solidFill>
                      <a:latin typeface="+mn-lt"/>
                      <a:ea typeface="+mn-ea"/>
                      <a:cs typeface="+mn-cs"/>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0F9C7C-95BA-47BC-A348-166B7F3CCAF5}" type="VALUE">
                  <a:rPr lang="en-US"/>
                  <a:pPr>
                    <a:defRPr sz="1000" b="1" i="0" u="none" strike="noStrike" kern="1200" baseline="0">
                      <a:solidFill>
                        <a:schemeClr val="lt1"/>
                      </a:solidFill>
                      <a:latin typeface="+mn-lt"/>
                      <a:ea typeface="+mn-ea"/>
                      <a:cs typeface="+mn-cs"/>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r>
                  <a:rPr lang="en-US" baseline="0"/>
                  <a:t> </a:t>
                </a:r>
                <a:fld id="{6419B0DA-2381-443D-AA19-312DC36CE6CD}" type="VALUE">
                  <a:rPr lang="en-US" baseline="0"/>
                  <a:pPr>
                    <a:defRPr/>
                  </a:pPr>
                  <a:t>[VALUE]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E00F9C7C-95BA-47BC-A348-166B7F3CCAF5}" type="VALUE">
                  <a:rPr lang="en-US"/>
                  <a:pPr>
                    <a:defRPr/>
                  </a:pPr>
                  <a:t>[VALUE]</a:t>
                </a:fld>
                <a:endParaRPr lang="en-IN"/>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6.0054593175853002E-2"/>
          <c:y val="8.7595572292593862E-2"/>
          <c:w val="0.6605081364829396"/>
          <c:h val="0.71794362661189093"/>
        </c:manualLayout>
      </c:layout>
      <c:doughnutChart>
        <c:varyColors val="1"/>
        <c:ser>
          <c:idx val="0"/>
          <c:order val="0"/>
          <c:tx>
            <c:strRef>
              <c:f>'Pivot Report'!$B$78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5B4-4083-8030-366F21AE28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5B4-4083-8030-366F21AE28E1}"/>
              </c:ext>
            </c:extLst>
          </c:dPt>
          <c:dLbls>
            <c:dLbl>
              <c:idx val="0"/>
              <c:tx>
                <c:rich>
                  <a:bodyPr/>
                  <a:lstStyle/>
                  <a:p>
                    <a:r>
                      <a:rPr lang="en-US" baseline="0"/>
                      <a:t> </a:t>
                    </a:r>
                    <a:fld id="{6419B0DA-2381-443D-AA19-312DC36CE6CD}" type="VALUE">
                      <a:rPr lang="en-US" baseline="0"/>
                      <a:pPr/>
                      <a:t>[VALUE]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5B4-4083-8030-366F21AE28E1}"/>
                </c:ext>
              </c:extLst>
            </c:dLbl>
            <c:dLbl>
              <c:idx val="1"/>
              <c:tx>
                <c:rich>
                  <a:bodyPr/>
                  <a:lstStyle/>
                  <a:p>
                    <a:fld id="{E00F9C7C-95BA-47BC-A348-166B7F3CCAF5}" type="VALUE">
                      <a:rPr lang="en-US"/>
                      <a:pPr/>
                      <a:t>[VALUE]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5B4-4083-8030-366F21AE28E1}"/>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Report'!$A$79:$A$81</c:f>
              <c:strCache>
                <c:ptCount val="2"/>
                <c:pt idx="0">
                  <c:v>Female</c:v>
                </c:pt>
                <c:pt idx="1">
                  <c:v>Male</c:v>
                </c:pt>
              </c:strCache>
            </c:strRef>
          </c:cat>
          <c:val>
            <c:numRef>
              <c:f>'Pivot Report'!$B$79:$B$81</c:f>
              <c:numCache>
                <c:formatCode>0</c:formatCode>
                <c:ptCount val="2"/>
                <c:pt idx="0">
                  <c:v>237</c:v>
                </c:pt>
                <c:pt idx="1">
                  <c:v>229</c:v>
                </c:pt>
              </c:numCache>
            </c:numRef>
          </c:val>
          <c:extLst>
            <c:ext xmlns:c16="http://schemas.microsoft.com/office/drawing/2014/chart" uri="{C3380CC4-5D6E-409C-BE32-E72D297353CC}">
              <c16:uniqueId val="{00000005-42CD-4FEC-890E-2E3A3956A209}"/>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r"/>
      <c:layout>
        <c:manualLayout>
          <c:xMode val="edge"/>
          <c:yMode val="edge"/>
          <c:x val="0.69615590551181106"/>
          <c:y val="5.316444140134656E-2"/>
          <c:w val="0.28384409448818898"/>
          <c:h val="0.2284491612461485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Report!PivotTable24</c:name>
    <c:fmtId val="4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32482201939059"/>
          <c:y val="6.6445211977924967E-2"/>
          <c:w val="0.71855600252260543"/>
          <c:h val="0.68699327931247767"/>
        </c:manualLayout>
      </c:layout>
      <c:barChart>
        <c:barDir val="bar"/>
        <c:grouping val="clustered"/>
        <c:varyColors val="0"/>
        <c:ser>
          <c:idx val="0"/>
          <c:order val="0"/>
          <c:tx>
            <c:strRef>
              <c:f>'Pivot Report'!$B$86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Report'!$A$87:$A$95</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Report'!$B$87:$B$95</c:f>
              <c:numCache>
                <c:formatCode>0</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1-4AA9-4619-9098-525D194FD22C}"/>
            </c:ext>
          </c:extLst>
        </c:ser>
        <c:dLbls>
          <c:showLegendKey val="0"/>
          <c:showVal val="0"/>
          <c:showCatName val="0"/>
          <c:showSerName val="0"/>
          <c:showPercent val="0"/>
          <c:showBubbleSize val="0"/>
        </c:dLbls>
        <c:gapWidth val="182"/>
        <c:axId val="691081487"/>
        <c:axId val="691088687"/>
      </c:barChart>
      <c:catAx>
        <c:axId val="69108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88687"/>
        <c:crosses val="autoZero"/>
        <c:auto val="1"/>
        <c:lblAlgn val="ctr"/>
        <c:lblOffset val="100"/>
        <c:noMultiLvlLbl val="0"/>
      </c:catAx>
      <c:valAx>
        <c:axId val="69108868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8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Report!PivotTable6</c:name>
    <c:fmtId val="2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No. of Patients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440453936063745E-2"/>
          <c:y val="0.10751524003048006"/>
          <c:w val="0.93637828628788899"/>
          <c:h val="0.60401859317244422"/>
        </c:manualLayout>
      </c:layout>
      <c:areaChart>
        <c:grouping val="standard"/>
        <c:varyColors val="0"/>
        <c:ser>
          <c:idx val="0"/>
          <c:order val="0"/>
          <c:tx>
            <c:strRef>
              <c:f>'Pivot Report'!$E$7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Report'!$D$8:$D$38</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Report'!$E$8:$E$38</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1-950D-4137-B365-2059E6D0A10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71205423"/>
        <c:axId val="471205903"/>
      </c:areaChart>
      <c:dateAx>
        <c:axId val="4712054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4200000" spcFirstLastPara="1" vertOverflow="ellipsis" wrap="square" anchor="t" anchorCtr="0"/>
          <a:lstStyle/>
          <a:p>
            <a:pPr>
              <a:defRPr sz="1200" b="0" i="0" u="none" strike="noStrike" kern="1200" baseline="0">
                <a:solidFill>
                  <a:schemeClr val="lt1"/>
                </a:solidFill>
                <a:effectLst>
                  <a:reflection endPos="0" dist="50800" dir="5400000" sy="-100000" algn="bl" rotWithShape="0"/>
                </a:effectLst>
                <a:latin typeface="+mn-lt"/>
                <a:ea typeface="+mn-ea"/>
                <a:cs typeface="+mn-cs"/>
              </a:defRPr>
            </a:pPr>
            <a:endParaRPr lang="en-US"/>
          </a:p>
        </c:txPr>
        <c:crossAx val="471205903"/>
        <c:crosses val="autoZero"/>
        <c:auto val="0"/>
        <c:lblOffset val="100"/>
        <c:baseTimeUnit val="days"/>
      </c:dateAx>
      <c:valAx>
        <c:axId val="471205903"/>
        <c:scaling>
          <c:orientation val="minMax"/>
        </c:scaling>
        <c:delete val="1"/>
        <c:axPos val="l"/>
        <c:numFmt formatCode="General" sourceLinked="1"/>
        <c:majorTickMark val="out"/>
        <c:minorTickMark val="none"/>
        <c:tickLblPos val="nextTo"/>
        <c:crossAx val="47120542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Report!PivotTable10</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6469844864163E-2"/>
          <c:y val="0.19028871391076116"/>
          <c:w val="0.93477471089534292"/>
          <c:h val="0.73122361525197699"/>
        </c:manualLayout>
      </c:layout>
      <c:areaChart>
        <c:grouping val="standard"/>
        <c:varyColors val="0"/>
        <c:ser>
          <c:idx val="0"/>
          <c:order val="0"/>
          <c:tx>
            <c:strRef>
              <c:f>'Pivot Report'!$I$7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Report'!$H$8:$H$38</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Report'!$I$8:$I$38</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1F-0B82-4253-B4FD-FB76F4145BD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0010831"/>
        <c:axId val="190009391"/>
      </c:areaChart>
      <c:catAx>
        <c:axId val="1900108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0009391"/>
        <c:crosses val="autoZero"/>
        <c:auto val="1"/>
        <c:lblAlgn val="ctr"/>
        <c:lblOffset val="100"/>
        <c:noMultiLvlLbl val="0"/>
      </c:catAx>
      <c:valAx>
        <c:axId val="19000939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01083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of Hospital Emercency Room.xlsx]Pivot Report!PivotTable12</c:name>
    <c:fmtId val="36"/>
  </c:pivotSource>
  <c:chart>
    <c:title>
      <c:tx>
        <c:rich>
          <a:bodyPr rot="0" spcFirstLastPara="1" vertOverflow="ellipsis" vert="horz" wrap="square" anchor="ctr" anchorCtr="1"/>
          <a:lstStyle/>
          <a:p>
            <a:pPr algn="ctr">
              <a:defRPr sz="1800" b="0" i="0" u="none" strike="noStrike" kern="1200" spc="0" baseline="0">
                <a:solidFill>
                  <a:schemeClr val="tx1"/>
                </a:solidFill>
                <a:latin typeface="+mn-lt"/>
                <a:ea typeface="+mn-ea"/>
                <a:cs typeface="+mn-cs"/>
              </a:defRPr>
            </a:pPr>
            <a:r>
              <a:rPr lang="en-US" sz="1800">
                <a:solidFill>
                  <a:schemeClr val="tx1"/>
                </a:solidFill>
              </a:rPr>
              <a:t>Average</a:t>
            </a:r>
            <a:r>
              <a:rPr lang="en-US" sz="1800" baseline="0">
                <a:solidFill>
                  <a:schemeClr val="tx1"/>
                </a:solidFill>
              </a:rPr>
              <a:t> Satisfaction Score</a:t>
            </a:r>
            <a:endParaRPr lang="en-US" sz="1800">
              <a:solidFill>
                <a:schemeClr val="tx1"/>
              </a:solidFill>
            </a:endParaRPr>
          </a:p>
        </c:rich>
      </c:tx>
      <c:layout>
        <c:manualLayout>
          <c:xMode val="edge"/>
          <c:yMode val="edge"/>
          <c:x val="0.36489158923040266"/>
          <c:y val="1.9417475728155338E-2"/>
        </c:manualLayout>
      </c:layout>
      <c:overlay val="0"/>
      <c:spPr>
        <a:noFill/>
        <a:ln>
          <a:noFill/>
        </a:ln>
        <a:effectLst/>
      </c:spPr>
      <c:txPr>
        <a:bodyPr rot="0" spcFirstLastPara="1" vertOverflow="ellipsis" vert="horz" wrap="square" anchor="ctr" anchorCtr="1"/>
        <a:lstStyle/>
        <a:p>
          <a:pPr algn="ctr">
            <a:defRPr sz="18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27583819713742E-2"/>
          <c:y val="0.22656163626312878"/>
          <c:w val="0.89997045133475539"/>
          <c:h val="0.64023191130959367"/>
        </c:manualLayout>
      </c:layout>
      <c:areaChart>
        <c:grouping val="standard"/>
        <c:varyColors val="0"/>
        <c:ser>
          <c:idx val="0"/>
          <c:order val="0"/>
          <c:tx>
            <c:strRef>
              <c:f>'Pivot Report'!$N$7</c:f>
              <c:strCache>
                <c:ptCount val="1"/>
                <c:pt idx="0">
                  <c:v>Total</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Report'!$M$8:$M$37</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Report'!$N$8:$N$37</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1-C0D2-464E-9643-A2645FE9B159}"/>
            </c:ext>
          </c:extLst>
        </c:ser>
        <c:dLbls>
          <c:showLegendKey val="0"/>
          <c:showVal val="0"/>
          <c:showCatName val="0"/>
          <c:showSerName val="0"/>
          <c:showPercent val="0"/>
          <c:showBubbleSize val="0"/>
        </c:dLbls>
        <c:axId val="1793111440"/>
        <c:axId val="1793110960"/>
      </c:areaChart>
      <c:catAx>
        <c:axId val="1793111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48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793110960"/>
        <c:crosses val="autoZero"/>
        <c:auto val="1"/>
        <c:lblAlgn val="ctr"/>
        <c:lblOffset val="100"/>
        <c:noMultiLvlLbl val="0"/>
      </c:catAx>
      <c:valAx>
        <c:axId val="1793110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1114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Average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15240</xdr:colOff>
      <xdr:row>50</xdr:row>
      <xdr:rowOff>236220</xdr:rowOff>
    </xdr:from>
    <xdr:to>
      <xdr:col>4</xdr:col>
      <xdr:colOff>38100</xdr:colOff>
      <xdr:row>53</xdr:row>
      <xdr:rowOff>22860</xdr:rowOff>
    </xdr:to>
    <xdr:graphicFrame macro="">
      <xdr:nvGraphicFramePr>
        <xdr:cNvPr id="11" name="Chart 10">
          <a:extLst>
            <a:ext uri="{FF2B5EF4-FFF2-40B4-BE49-F238E27FC236}">
              <a16:creationId xmlns:a16="http://schemas.microsoft.com/office/drawing/2014/main" id="{8594B3C9-58BF-8D28-532E-F41EF8AB0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29308</xdr:colOff>
      <xdr:row>0</xdr:row>
      <xdr:rowOff>52753</xdr:rowOff>
    </xdr:from>
    <xdr:to>
      <xdr:col>7</xdr:col>
      <xdr:colOff>486508</xdr:colOff>
      <xdr:row>3</xdr:row>
      <xdr:rowOff>99645</xdr:rowOff>
    </xdr:to>
    <xdr:sp macro="" textlink="" fLocksText="0">
      <xdr:nvSpPr>
        <xdr:cNvPr id="3" name="Rectangle: Rounded Corners 2">
          <a:extLst>
            <a:ext uri="{FF2B5EF4-FFF2-40B4-BE49-F238E27FC236}">
              <a16:creationId xmlns:a16="http://schemas.microsoft.com/office/drawing/2014/main" id="{F6A47635-1BB2-DA2B-A624-009F810A79A9}"/>
            </a:ext>
          </a:extLst>
        </xdr:cNvPr>
        <xdr:cNvSpPr/>
      </xdr:nvSpPr>
      <xdr:spPr>
        <a:xfrm>
          <a:off x="29308" y="52753"/>
          <a:ext cx="4724400" cy="59201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10</xdr:col>
      <xdr:colOff>392722</xdr:colOff>
      <xdr:row>0</xdr:row>
      <xdr:rowOff>82062</xdr:rowOff>
    </xdr:from>
    <xdr:to>
      <xdr:col>14</xdr:col>
      <xdr:colOff>16387</xdr:colOff>
      <xdr:row>10</xdr:row>
      <xdr:rowOff>5861</xdr:rowOff>
    </xdr:to>
    <xdr:sp macro="" textlink="" fLocksText="0">
      <xdr:nvSpPr>
        <xdr:cNvPr id="7" name="Rectangle 6">
          <a:extLst>
            <a:ext uri="{FF2B5EF4-FFF2-40B4-BE49-F238E27FC236}">
              <a16:creationId xmlns:a16="http://schemas.microsoft.com/office/drawing/2014/main" id="{DFC882E2-1957-8001-13C7-CF872ADDC952}"/>
            </a:ext>
          </a:extLst>
        </xdr:cNvPr>
        <xdr:cNvSpPr/>
      </xdr:nvSpPr>
      <xdr:spPr>
        <a:xfrm>
          <a:off x="6488722" y="82062"/>
          <a:ext cx="2062065" cy="1740876"/>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14</xdr:col>
      <xdr:colOff>240323</xdr:colOff>
      <xdr:row>0</xdr:row>
      <xdr:rowOff>70340</xdr:rowOff>
    </xdr:from>
    <xdr:to>
      <xdr:col>17</xdr:col>
      <xdr:colOff>147484</xdr:colOff>
      <xdr:row>10</xdr:row>
      <xdr:rowOff>23446</xdr:rowOff>
    </xdr:to>
    <xdr:sp macro="" textlink="">
      <xdr:nvSpPr>
        <xdr:cNvPr id="9" name="Rectangle 8">
          <a:extLst>
            <a:ext uri="{FF2B5EF4-FFF2-40B4-BE49-F238E27FC236}">
              <a16:creationId xmlns:a16="http://schemas.microsoft.com/office/drawing/2014/main" id="{8E72C1CF-0FFB-9DB4-6796-88B1F563E7D8}"/>
            </a:ext>
          </a:extLst>
        </xdr:cNvPr>
        <xdr:cNvSpPr/>
      </xdr:nvSpPr>
      <xdr:spPr>
        <a:xfrm>
          <a:off x="8728839" y="70340"/>
          <a:ext cx="1726129" cy="1755687"/>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99645</xdr:colOff>
      <xdr:row>4</xdr:row>
      <xdr:rowOff>11723</xdr:rowOff>
    </xdr:from>
    <xdr:to>
      <xdr:col>1</xdr:col>
      <xdr:colOff>351692</xdr:colOff>
      <xdr:row>20</xdr:row>
      <xdr:rowOff>99646</xdr:rowOff>
    </xdr:to>
    <xdr:sp macro="" textlink="">
      <xdr:nvSpPr>
        <xdr:cNvPr id="10" name="Rectangle: Rounded Corners 9">
          <a:extLst>
            <a:ext uri="{FF2B5EF4-FFF2-40B4-BE49-F238E27FC236}">
              <a16:creationId xmlns:a16="http://schemas.microsoft.com/office/drawing/2014/main" id="{836FA8A6-FD26-B55F-C684-5A4D81D764BA}"/>
            </a:ext>
          </a:extLst>
        </xdr:cNvPr>
        <xdr:cNvSpPr/>
      </xdr:nvSpPr>
      <xdr:spPr>
        <a:xfrm>
          <a:off x="99645" y="738554"/>
          <a:ext cx="861647" cy="2995246"/>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422030</xdr:colOff>
      <xdr:row>13</xdr:row>
      <xdr:rowOff>52754</xdr:rowOff>
    </xdr:from>
    <xdr:to>
      <xdr:col>10</xdr:col>
      <xdr:colOff>281353</xdr:colOff>
      <xdr:row>20</xdr:row>
      <xdr:rowOff>105508</xdr:rowOff>
    </xdr:to>
    <xdr:sp macro="" textlink="">
      <xdr:nvSpPr>
        <xdr:cNvPr id="15" name="Rectangle 14">
          <a:extLst>
            <a:ext uri="{FF2B5EF4-FFF2-40B4-BE49-F238E27FC236}">
              <a16:creationId xmlns:a16="http://schemas.microsoft.com/office/drawing/2014/main" id="{2F2E0703-FA80-97F6-F61A-32ACE4F137EB}"/>
            </a:ext>
          </a:extLst>
        </xdr:cNvPr>
        <xdr:cNvSpPr/>
      </xdr:nvSpPr>
      <xdr:spPr>
        <a:xfrm>
          <a:off x="1031630" y="2414954"/>
          <a:ext cx="5345723" cy="132470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76199</xdr:colOff>
      <xdr:row>90</xdr:row>
      <xdr:rowOff>17594</xdr:rowOff>
    </xdr:from>
    <xdr:to>
      <xdr:col>22</xdr:col>
      <xdr:colOff>427891</xdr:colOff>
      <xdr:row>96</xdr:row>
      <xdr:rowOff>17593</xdr:rowOff>
    </xdr:to>
    <xdr:sp macro="" textlink="">
      <xdr:nvSpPr>
        <xdr:cNvPr id="25" name="Rectangle 24">
          <a:extLst>
            <a:ext uri="{FF2B5EF4-FFF2-40B4-BE49-F238E27FC236}">
              <a16:creationId xmlns:a16="http://schemas.microsoft.com/office/drawing/2014/main" id="{0188350C-1B73-49A5-7994-99BEAA18B712}"/>
            </a:ext>
          </a:extLst>
        </xdr:cNvPr>
        <xdr:cNvSpPr/>
      </xdr:nvSpPr>
      <xdr:spPr>
        <a:xfrm>
          <a:off x="12285784" y="16371286"/>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404445</xdr:colOff>
      <xdr:row>97</xdr:row>
      <xdr:rowOff>11733</xdr:rowOff>
    </xdr:from>
    <xdr:to>
      <xdr:col>24</xdr:col>
      <xdr:colOff>146537</xdr:colOff>
      <xdr:row>103</xdr:row>
      <xdr:rowOff>11732</xdr:rowOff>
    </xdr:to>
    <xdr:sp macro="" textlink="">
      <xdr:nvSpPr>
        <xdr:cNvPr id="26" name="Rectangle 25">
          <a:extLst>
            <a:ext uri="{FF2B5EF4-FFF2-40B4-BE49-F238E27FC236}">
              <a16:creationId xmlns:a16="http://schemas.microsoft.com/office/drawing/2014/main" id="{A89A8F4A-A849-101E-AA95-EB9823ED19CF}"/>
            </a:ext>
          </a:extLst>
        </xdr:cNvPr>
        <xdr:cNvSpPr/>
      </xdr:nvSpPr>
      <xdr:spPr>
        <a:xfrm>
          <a:off x="13223630" y="17637379"/>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123091</xdr:colOff>
      <xdr:row>104</xdr:row>
      <xdr:rowOff>5872</xdr:rowOff>
    </xdr:from>
    <xdr:to>
      <xdr:col>25</xdr:col>
      <xdr:colOff>474783</xdr:colOff>
      <xdr:row>110</xdr:row>
      <xdr:rowOff>5871</xdr:rowOff>
    </xdr:to>
    <xdr:sp macro="" textlink="">
      <xdr:nvSpPr>
        <xdr:cNvPr id="27" name="Rectangle 26">
          <a:extLst>
            <a:ext uri="{FF2B5EF4-FFF2-40B4-BE49-F238E27FC236}">
              <a16:creationId xmlns:a16="http://schemas.microsoft.com/office/drawing/2014/main" id="{F01B3BF5-0DFA-AFAA-70F5-58D0CD7C021B}"/>
            </a:ext>
          </a:extLst>
        </xdr:cNvPr>
        <xdr:cNvSpPr/>
      </xdr:nvSpPr>
      <xdr:spPr>
        <a:xfrm>
          <a:off x="14161476" y="18903472"/>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451337</xdr:colOff>
      <xdr:row>111</xdr:row>
      <xdr:rowOff>11</xdr:rowOff>
    </xdr:from>
    <xdr:to>
      <xdr:col>27</xdr:col>
      <xdr:colOff>193429</xdr:colOff>
      <xdr:row>117</xdr:row>
      <xdr:rowOff>10</xdr:rowOff>
    </xdr:to>
    <xdr:sp macro="" textlink="">
      <xdr:nvSpPr>
        <xdr:cNvPr id="28" name="Rectangle 27">
          <a:extLst>
            <a:ext uri="{FF2B5EF4-FFF2-40B4-BE49-F238E27FC236}">
              <a16:creationId xmlns:a16="http://schemas.microsoft.com/office/drawing/2014/main" id="{3F523CC5-6E61-7E52-2981-A4E3FC7031AC}"/>
            </a:ext>
          </a:extLst>
        </xdr:cNvPr>
        <xdr:cNvSpPr/>
      </xdr:nvSpPr>
      <xdr:spPr>
        <a:xfrm>
          <a:off x="15099322" y="20169565"/>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457198</xdr:colOff>
      <xdr:row>110</xdr:row>
      <xdr:rowOff>87935</xdr:rowOff>
    </xdr:from>
    <xdr:to>
      <xdr:col>30</xdr:col>
      <xdr:colOff>199290</xdr:colOff>
      <xdr:row>116</xdr:row>
      <xdr:rowOff>87934</xdr:rowOff>
    </xdr:to>
    <xdr:sp macro="" textlink="">
      <xdr:nvSpPr>
        <xdr:cNvPr id="30" name="Rectangle 29">
          <a:extLst>
            <a:ext uri="{FF2B5EF4-FFF2-40B4-BE49-F238E27FC236}">
              <a16:creationId xmlns:a16="http://schemas.microsoft.com/office/drawing/2014/main" id="{D2FF8C74-ECBF-3AD9-484A-83108FF64836}"/>
            </a:ext>
          </a:extLst>
        </xdr:cNvPr>
        <xdr:cNvSpPr/>
      </xdr:nvSpPr>
      <xdr:spPr>
        <a:xfrm>
          <a:off x="16933983" y="20075781"/>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463059</xdr:colOff>
      <xdr:row>109</xdr:row>
      <xdr:rowOff>175859</xdr:rowOff>
    </xdr:from>
    <xdr:to>
      <xdr:col>33</xdr:col>
      <xdr:colOff>205151</xdr:colOff>
      <xdr:row>115</xdr:row>
      <xdr:rowOff>175857</xdr:rowOff>
    </xdr:to>
    <xdr:sp macro="" textlink="">
      <xdr:nvSpPr>
        <xdr:cNvPr id="32" name="Rectangle 31">
          <a:extLst>
            <a:ext uri="{FF2B5EF4-FFF2-40B4-BE49-F238E27FC236}">
              <a16:creationId xmlns:a16="http://schemas.microsoft.com/office/drawing/2014/main" id="{E291B9B7-CD1B-7BCA-D8B4-963EF7D3B88F}"/>
            </a:ext>
          </a:extLst>
        </xdr:cNvPr>
        <xdr:cNvSpPr/>
      </xdr:nvSpPr>
      <xdr:spPr>
        <a:xfrm>
          <a:off x="18768644" y="19981997"/>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33</xdr:col>
      <xdr:colOff>468920</xdr:colOff>
      <xdr:row>109</xdr:row>
      <xdr:rowOff>82075</xdr:rowOff>
    </xdr:from>
    <xdr:to>
      <xdr:col>36</xdr:col>
      <xdr:colOff>211012</xdr:colOff>
      <xdr:row>115</xdr:row>
      <xdr:rowOff>82073</xdr:rowOff>
    </xdr:to>
    <xdr:sp macro="" textlink="">
      <xdr:nvSpPr>
        <xdr:cNvPr id="34" name="Rectangle 33">
          <a:extLst>
            <a:ext uri="{FF2B5EF4-FFF2-40B4-BE49-F238E27FC236}">
              <a16:creationId xmlns:a16="http://schemas.microsoft.com/office/drawing/2014/main" id="{C5C90F93-F056-76EE-60C7-B3AD0281FF8A}"/>
            </a:ext>
          </a:extLst>
        </xdr:cNvPr>
        <xdr:cNvSpPr/>
      </xdr:nvSpPr>
      <xdr:spPr>
        <a:xfrm>
          <a:off x="20603305" y="19888213"/>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474781</xdr:colOff>
      <xdr:row>108</xdr:row>
      <xdr:rowOff>169998</xdr:rowOff>
    </xdr:from>
    <xdr:to>
      <xdr:col>39</xdr:col>
      <xdr:colOff>216873</xdr:colOff>
      <xdr:row>114</xdr:row>
      <xdr:rowOff>169997</xdr:rowOff>
    </xdr:to>
    <xdr:sp macro="" textlink="">
      <xdr:nvSpPr>
        <xdr:cNvPr id="36" name="Rectangle 35">
          <a:extLst>
            <a:ext uri="{FF2B5EF4-FFF2-40B4-BE49-F238E27FC236}">
              <a16:creationId xmlns:a16="http://schemas.microsoft.com/office/drawing/2014/main" id="{B1882759-34C6-EDB6-08FB-2E378A4DD591}"/>
            </a:ext>
          </a:extLst>
        </xdr:cNvPr>
        <xdr:cNvSpPr/>
      </xdr:nvSpPr>
      <xdr:spPr>
        <a:xfrm>
          <a:off x="22437966" y="19794429"/>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480642</xdr:colOff>
      <xdr:row>108</xdr:row>
      <xdr:rowOff>76214</xdr:rowOff>
    </xdr:from>
    <xdr:to>
      <xdr:col>42</xdr:col>
      <xdr:colOff>222734</xdr:colOff>
      <xdr:row>114</xdr:row>
      <xdr:rowOff>76213</xdr:rowOff>
    </xdr:to>
    <xdr:sp macro="" textlink="">
      <xdr:nvSpPr>
        <xdr:cNvPr id="38" name="Rectangle 37">
          <a:extLst>
            <a:ext uri="{FF2B5EF4-FFF2-40B4-BE49-F238E27FC236}">
              <a16:creationId xmlns:a16="http://schemas.microsoft.com/office/drawing/2014/main" id="{101009DD-BD35-EFE6-501C-062E36295782}"/>
            </a:ext>
          </a:extLst>
        </xdr:cNvPr>
        <xdr:cNvSpPr/>
      </xdr:nvSpPr>
      <xdr:spPr>
        <a:xfrm>
          <a:off x="24272627" y="19700645"/>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486503</xdr:colOff>
      <xdr:row>107</xdr:row>
      <xdr:rowOff>164138</xdr:rowOff>
    </xdr:from>
    <xdr:to>
      <xdr:col>45</xdr:col>
      <xdr:colOff>228595</xdr:colOff>
      <xdr:row>113</xdr:row>
      <xdr:rowOff>164137</xdr:rowOff>
    </xdr:to>
    <xdr:sp macro="" textlink="">
      <xdr:nvSpPr>
        <xdr:cNvPr id="40" name="Rectangle 39">
          <a:extLst>
            <a:ext uri="{FF2B5EF4-FFF2-40B4-BE49-F238E27FC236}">
              <a16:creationId xmlns:a16="http://schemas.microsoft.com/office/drawing/2014/main" id="{FCB97CFD-61E8-993E-A16A-8F6F3F01F6ED}"/>
            </a:ext>
          </a:extLst>
        </xdr:cNvPr>
        <xdr:cNvSpPr/>
      </xdr:nvSpPr>
      <xdr:spPr>
        <a:xfrm>
          <a:off x="26107288" y="19606861"/>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492364</xdr:colOff>
      <xdr:row>107</xdr:row>
      <xdr:rowOff>70354</xdr:rowOff>
    </xdr:from>
    <xdr:to>
      <xdr:col>48</xdr:col>
      <xdr:colOff>234456</xdr:colOff>
      <xdr:row>113</xdr:row>
      <xdr:rowOff>70353</xdr:rowOff>
    </xdr:to>
    <xdr:sp macro="" textlink="">
      <xdr:nvSpPr>
        <xdr:cNvPr id="42" name="Rectangle 41">
          <a:extLst>
            <a:ext uri="{FF2B5EF4-FFF2-40B4-BE49-F238E27FC236}">
              <a16:creationId xmlns:a16="http://schemas.microsoft.com/office/drawing/2014/main" id="{5C00FF5C-2AA4-E555-6D7D-4B079C4A3D11}"/>
            </a:ext>
          </a:extLst>
        </xdr:cNvPr>
        <xdr:cNvSpPr/>
      </xdr:nvSpPr>
      <xdr:spPr>
        <a:xfrm>
          <a:off x="27941949" y="19513077"/>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48</xdr:col>
      <xdr:colOff>498225</xdr:colOff>
      <xdr:row>106</xdr:row>
      <xdr:rowOff>158278</xdr:rowOff>
    </xdr:from>
    <xdr:to>
      <xdr:col>51</xdr:col>
      <xdr:colOff>240317</xdr:colOff>
      <xdr:row>112</xdr:row>
      <xdr:rowOff>158276</xdr:rowOff>
    </xdr:to>
    <xdr:sp macro="" textlink="">
      <xdr:nvSpPr>
        <xdr:cNvPr id="44" name="Rectangle 43">
          <a:extLst>
            <a:ext uri="{FF2B5EF4-FFF2-40B4-BE49-F238E27FC236}">
              <a16:creationId xmlns:a16="http://schemas.microsoft.com/office/drawing/2014/main" id="{707FA2B2-D578-797C-1FD9-FA9B757A4884}"/>
            </a:ext>
          </a:extLst>
        </xdr:cNvPr>
        <xdr:cNvSpPr/>
      </xdr:nvSpPr>
      <xdr:spPr>
        <a:xfrm>
          <a:off x="29776610" y="19419293"/>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51</xdr:col>
      <xdr:colOff>504086</xdr:colOff>
      <xdr:row>106</xdr:row>
      <xdr:rowOff>64494</xdr:rowOff>
    </xdr:from>
    <xdr:to>
      <xdr:col>54</xdr:col>
      <xdr:colOff>246178</xdr:colOff>
      <xdr:row>112</xdr:row>
      <xdr:rowOff>64492</xdr:rowOff>
    </xdr:to>
    <xdr:sp macro="" textlink="">
      <xdr:nvSpPr>
        <xdr:cNvPr id="46" name="Rectangle 45">
          <a:extLst>
            <a:ext uri="{FF2B5EF4-FFF2-40B4-BE49-F238E27FC236}">
              <a16:creationId xmlns:a16="http://schemas.microsoft.com/office/drawing/2014/main" id="{AFA9EF4D-1F09-B41B-C7C7-8D339FB53EA4}"/>
            </a:ext>
          </a:extLst>
        </xdr:cNvPr>
        <xdr:cNvSpPr/>
      </xdr:nvSpPr>
      <xdr:spPr>
        <a:xfrm>
          <a:off x="31611271" y="19325509"/>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54</xdr:col>
      <xdr:colOff>509947</xdr:colOff>
      <xdr:row>105</xdr:row>
      <xdr:rowOff>152417</xdr:rowOff>
    </xdr:from>
    <xdr:to>
      <xdr:col>57</xdr:col>
      <xdr:colOff>252039</xdr:colOff>
      <xdr:row>111</xdr:row>
      <xdr:rowOff>152416</xdr:rowOff>
    </xdr:to>
    <xdr:sp macro="" textlink="">
      <xdr:nvSpPr>
        <xdr:cNvPr id="48" name="Rectangle 47">
          <a:extLst>
            <a:ext uri="{FF2B5EF4-FFF2-40B4-BE49-F238E27FC236}">
              <a16:creationId xmlns:a16="http://schemas.microsoft.com/office/drawing/2014/main" id="{A9C983B6-B9DA-9345-EC42-008A387DF9B0}"/>
            </a:ext>
          </a:extLst>
        </xdr:cNvPr>
        <xdr:cNvSpPr/>
      </xdr:nvSpPr>
      <xdr:spPr>
        <a:xfrm>
          <a:off x="33445932" y="19231725"/>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57</xdr:col>
      <xdr:colOff>515808</xdr:colOff>
      <xdr:row>105</xdr:row>
      <xdr:rowOff>58633</xdr:rowOff>
    </xdr:from>
    <xdr:to>
      <xdr:col>60</xdr:col>
      <xdr:colOff>257900</xdr:colOff>
      <xdr:row>111</xdr:row>
      <xdr:rowOff>58632</xdr:rowOff>
    </xdr:to>
    <xdr:sp macro="" textlink="">
      <xdr:nvSpPr>
        <xdr:cNvPr id="50" name="Rectangle 49">
          <a:extLst>
            <a:ext uri="{FF2B5EF4-FFF2-40B4-BE49-F238E27FC236}">
              <a16:creationId xmlns:a16="http://schemas.microsoft.com/office/drawing/2014/main" id="{B2F850E7-566F-2AC3-D24C-89AD29D5E704}"/>
            </a:ext>
          </a:extLst>
        </xdr:cNvPr>
        <xdr:cNvSpPr/>
      </xdr:nvSpPr>
      <xdr:spPr>
        <a:xfrm>
          <a:off x="35280593" y="19137941"/>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60</xdr:col>
      <xdr:colOff>521669</xdr:colOff>
      <xdr:row>104</xdr:row>
      <xdr:rowOff>146557</xdr:rowOff>
    </xdr:from>
    <xdr:to>
      <xdr:col>63</xdr:col>
      <xdr:colOff>263761</xdr:colOff>
      <xdr:row>110</xdr:row>
      <xdr:rowOff>146556</xdr:rowOff>
    </xdr:to>
    <xdr:sp macro="" textlink="">
      <xdr:nvSpPr>
        <xdr:cNvPr id="52" name="Rectangle 51">
          <a:extLst>
            <a:ext uri="{FF2B5EF4-FFF2-40B4-BE49-F238E27FC236}">
              <a16:creationId xmlns:a16="http://schemas.microsoft.com/office/drawing/2014/main" id="{62DCC5FC-97F4-2406-9F07-A3E966432F29}"/>
            </a:ext>
          </a:extLst>
        </xdr:cNvPr>
        <xdr:cNvSpPr/>
      </xdr:nvSpPr>
      <xdr:spPr>
        <a:xfrm>
          <a:off x="37115254" y="19044157"/>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42</xdr:col>
      <xdr:colOff>199286</xdr:colOff>
      <xdr:row>6</xdr:row>
      <xdr:rowOff>134825</xdr:rowOff>
    </xdr:from>
    <xdr:to>
      <xdr:col>44</xdr:col>
      <xdr:colOff>550978</xdr:colOff>
      <xdr:row>12</xdr:row>
      <xdr:rowOff>134824</xdr:rowOff>
    </xdr:to>
    <xdr:sp macro="" textlink="">
      <xdr:nvSpPr>
        <xdr:cNvPr id="53" name="Rectangle 52">
          <a:extLst>
            <a:ext uri="{FF2B5EF4-FFF2-40B4-BE49-F238E27FC236}">
              <a16:creationId xmlns:a16="http://schemas.microsoft.com/office/drawing/2014/main" id="{1228AD23-BBDA-342F-B889-62A14CD3D5E0}"/>
            </a:ext>
          </a:extLst>
        </xdr:cNvPr>
        <xdr:cNvSpPr/>
      </xdr:nvSpPr>
      <xdr:spPr>
        <a:xfrm>
          <a:off x="25820071" y="1225071"/>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63</xdr:col>
      <xdr:colOff>527530</xdr:colOff>
      <xdr:row>104</xdr:row>
      <xdr:rowOff>52773</xdr:rowOff>
    </xdr:from>
    <xdr:to>
      <xdr:col>66</xdr:col>
      <xdr:colOff>269622</xdr:colOff>
      <xdr:row>110</xdr:row>
      <xdr:rowOff>52772</xdr:rowOff>
    </xdr:to>
    <xdr:sp macro="" textlink="">
      <xdr:nvSpPr>
        <xdr:cNvPr id="54" name="Rectangle 53">
          <a:extLst>
            <a:ext uri="{FF2B5EF4-FFF2-40B4-BE49-F238E27FC236}">
              <a16:creationId xmlns:a16="http://schemas.microsoft.com/office/drawing/2014/main" id="{5ACA1A6C-DF8D-56C8-D129-D7D583024CA0}"/>
            </a:ext>
          </a:extLst>
        </xdr:cNvPr>
        <xdr:cNvSpPr/>
      </xdr:nvSpPr>
      <xdr:spPr>
        <a:xfrm>
          <a:off x="38949915" y="18950373"/>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45</xdr:col>
      <xdr:colOff>205147</xdr:colOff>
      <xdr:row>6</xdr:row>
      <xdr:rowOff>58626</xdr:rowOff>
    </xdr:from>
    <xdr:to>
      <xdr:col>47</xdr:col>
      <xdr:colOff>556839</xdr:colOff>
      <xdr:row>12</xdr:row>
      <xdr:rowOff>58625</xdr:rowOff>
    </xdr:to>
    <xdr:sp macro="" textlink="">
      <xdr:nvSpPr>
        <xdr:cNvPr id="55" name="Rectangle 54">
          <a:extLst>
            <a:ext uri="{FF2B5EF4-FFF2-40B4-BE49-F238E27FC236}">
              <a16:creationId xmlns:a16="http://schemas.microsoft.com/office/drawing/2014/main" id="{003996C4-501E-AA2E-AA04-C349DCB9E6AA}"/>
            </a:ext>
          </a:extLst>
        </xdr:cNvPr>
        <xdr:cNvSpPr/>
      </xdr:nvSpPr>
      <xdr:spPr>
        <a:xfrm>
          <a:off x="27654732" y="1148872"/>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66</xdr:col>
      <xdr:colOff>533391</xdr:colOff>
      <xdr:row>103</xdr:row>
      <xdr:rowOff>140697</xdr:rowOff>
    </xdr:from>
    <xdr:to>
      <xdr:col>69</xdr:col>
      <xdr:colOff>275483</xdr:colOff>
      <xdr:row>109</xdr:row>
      <xdr:rowOff>140696</xdr:rowOff>
    </xdr:to>
    <xdr:sp macro="" textlink="">
      <xdr:nvSpPr>
        <xdr:cNvPr id="56" name="Rectangle 55">
          <a:extLst>
            <a:ext uri="{FF2B5EF4-FFF2-40B4-BE49-F238E27FC236}">
              <a16:creationId xmlns:a16="http://schemas.microsoft.com/office/drawing/2014/main" id="{EABD8D70-F4E8-CE41-897D-C91575367A94}"/>
            </a:ext>
          </a:extLst>
        </xdr:cNvPr>
        <xdr:cNvSpPr/>
      </xdr:nvSpPr>
      <xdr:spPr>
        <a:xfrm>
          <a:off x="40784576" y="18856589"/>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48</xdr:col>
      <xdr:colOff>211008</xdr:colOff>
      <xdr:row>5</xdr:row>
      <xdr:rowOff>146550</xdr:rowOff>
    </xdr:from>
    <xdr:to>
      <xdr:col>50</xdr:col>
      <xdr:colOff>562700</xdr:colOff>
      <xdr:row>11</xdr:row>
      <xdr:rowOff>146548</xdr:rowOff>
    </xdr:to>
    <xdr:sp macro="" textlink="">
      <xdr:nvSpPr>
        <xdr:cNvPr id="57" name="Rectangle 56">
          <a:extLst>
            <a:ext uri="{FF2B5EF4-FFF2-40B4-BE49-F238E27FC236}">
              <a16:creationId xmlns:a16="http://schemas.microsoft.com/office/drawing/2014/main" id="{1F9B2490-5CC6-4A10-9031-377B02E03BD1}"/>
            </a:ext>
          </a:extLst>
        </xdr:cNvPr>
        <xdr:cNvSpPr/>
      </xdr:nvSpPr>
      <xdr:spPr>
        <a:xfrm>
          <a:off x="29489393" y="1055088"/>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69</xdr:col>
      <xdr:colOff>539252</xdr:colOff>
      <xdr:row>103</xdr:row>
      <xdr:rowOff>46913</xdr:rowOff>
    </xdr:from>
    <xdr:to>
      <xdr:col>72</xdr:col>
      <xdr:colOff>281344</xdr:colOff>
      <xdr:row>109</xdr:row>
      <xdr:rowOff>46912</xdr:rowOff>
    </xdr:to>
    <xdr:sp macro="" textlink="">
      <xdr:nvSpPr>
        <xdr:cNvPr id="58" name="Rectangle 57">
          <a:extLst>
            <a:ext uri="{FF2B5EF4-FFF2-40B4-BE49-F238E27FC236}">
              <a16:creationId xmlns:a16="http://schemas.microsoft.com/office/drawing/2014/main" id="{D07A6BF2-966D-94A8-8B92-58841DC6160B}"/>
            </a:ext>
          </a:extLst>
        </xdr:cNvPr>
        <xdr:cNvSpPr/>
      </xdr:nvSpPr>
      <xdr:spPr>
        <a:xfrm>
          <a:off x="42619237" y="18762805"/>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51</xdr:col>
      <xdr:colOff>216869</xdr:colOff>
      <xdr:row>5</xdr:row>
      <xdr:rowOff>52766</xdr:rowOff>
    </xdr:from>
    <xdr:to>
      <xdr:col>53</xdr:col>
      <xdr:colOff>568561</xdr:colOff>
      <xdr:row>11</xdr:row>
      <xdr:rowOff>52764</xdr:rowOff>
    </xdr:to>
    <xdr:sp macro="" textlink="">
      <xdr:nvSpPr>
        <xdr:cNvPr id="59" name="Rectangle 58">
          <a:extLst>
            <a:ext uri="{FF2B5EF4-FFF2-40B4-BE49-F238E27FC236}">
              <a16:creationId xmlns:a16="http://schemas.microsoft.com/office/drawing/2014/main" id="{AE616470-9CD6-6CB0-09C2-572B3C7475F1}"/>
            </a:ext>
          </a:extLst>
        </xdr:cNvPr>
        <xdr:cNvSpPr/>
      </xdr:nvSpPr>
      <xdr:spPr>
        <a:xfrm>
          <a:off x="31324054" y="961304"/>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72</xdr:col>
      <xdr:colOff>545113</xdr:colOff>
      <xdr:row>102</xdr:row>
      <xdr:rowOff>134836</xdr:rowOff>
    </xdr:from>
    <xdr:to>
      <xdr:col>75</xdr:col>
      <xdr:colOff>287205</xdr:colOff>
      <xdr:row>108</xdr:row>
      <xdr:rowOff>134835</xdr:rowOff>
    </xdr:to>
    <xdr:sp macro="" textlink="">
      <xdr:nvSpPr>
        <xdr:cNvPr id="60" name="Rectangle 59">
          <a:extLst>
            <a:ext uri="{FF2B5EF4-FFF2-40B4-BE49-F238E27FC236}">
              <a16:creationId xmlns:a16="http://schemas.microsoft.com/office/drawing/2014/main" id="{04EF5B50-588C-BFA1-B937-9916F5F06704}"/>
            </a:ext>
          </a:extLst>
        </xdr:cNvPr>
        <xdr:cNvSpPr/>
      </xdr:nvSpPr>
      <xdr:spPr>
        <a:xfrm>
          <a:off x="44453898" y="18669021"/>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54</xdr:col>
      <xdr:colOff>222730</xdr:colOff>
      <xdr:row>4</xdr:row>
      <xdr:rowOff>140689</xdr:rowOff>
    </xdr:from>
    <xdr:to>
      <xdr:col>56</xdr:col>
      <xdr:colOff>574422</xdr:colOff>
      <xdr:row>10</xdr:row>
      <xdr:rowOff>140688</xdr:rowOff>
    </xdr:to>
    <xdr:sp macro="" textlink="">
      <xdr:nvSpPr>
        <xdr:cNvPr id="61" name="Rectangle 60">
          <a:extLst>
            <a:ext uri="{FF2B5EF4-FFF2-40B4-BE49-F238E27FC236}">
              <a16:creationId xmlns:a16="http://schemas.microsoft.com/office/drawing/2014/main" id="{410C6B42-C546-11B8-8C5B-1F2376329269}"/>
            </a:ext>
          </a:extLst>
        </xdr:cNvPr>
        <xdr:cNvSpPr/>
      </xdr:nvSpPr>
      <xdr:spPr>
        <a:xfrm>
          <a:off x="33158715" y="867520"/>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75</xdr:col>
      <xdr:colOff>550974</xdr:colOff>
      <xdr:row>102</xdr:row>
      <xdr:rowOff>41052</xdr:rowOff>
    </xdr:from>
    <xdr:to>
      <xdr:col>78</xdr:col>
      <xdr:colOff>293066</xdr:colOff>
      <xdr:row>108</xdr:row>
      <xdr:rowOff>41051</xdr:rowOff>
    </xdr:to>
    <xdr:sp macro="" textlink="">
      <xdr:nvSpPr>
        <xdr:cNvPr id="62" name="Rectangle 61">
          <a:extLst>
            <a:ext uri="{FF2B5EF4-FFF2-40B4-BE49-F238E27FC236}">
              <a16:creationId xmlns:a16="http://schemas.microsoft.com/office/drawing/2014/main" id="{6D622442-4ABA-2637-E5A7-25F370FC8B69}"/>
            </a:ext>
          </a:extLst>
        </xdr:cNvPr>
        <xdr:cNvSpPr/>
      </xdr:nvSpPr>
      <xdr:spPr>
        <a:xfrm>
          <a:off x="46288559" y="18575237"/>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57</xdr:col>
      <xdr:colOff>228591</xdr:colOff>
      <xdr:row>4</xdr:row>
      <xdr:rowOff>46905</xdr:rowOff>
    </xdr:from>
    <xdr:to>
      <xdr:col>59</xdr:col>
      <xdr:colOff>580283</xdr:colOff>
      <xdr:row>10</xdr:row>
      <xdr:rowOff>46904</xdr:rowOff>
    </xdr:to>
    <xdr:sp macro="" textlink="">
      <xdr:nvSpPr>
        <xdr:cNvPr id="63" name="Rectangle 62">
          <a:extLst>
            <a:ext uri="{FF2B5EF4-FFF2-40B4-BE49-F238E27FC236}">
              <a16:creationId xmlns:a16="http://schemas.microsoft.com/office/drawing/2014/main" id="{63F5877E-6081-D2A0-DACF-174CF5C3A022}"/>
            </a:ext>
          </a:extLst>
        </xdr:cNvPr>
        <xdr:cNvSpPr/>
      </xdr:nvSpPr>
      <xdr:spPr>
        <a:xfrm>
          <a:off x="34993376" y="773736"/>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78</xdr:col>
      <xdr:colOff>556835</xdr:colOff>
      <xdr:row>101</xdr:row>
      <xdr:rowOff>128976</xdr:rowOff>
    </xdr:from>
    <xdr:to>
      <xdr:col>81</xdr:col>
      <xdr:colOff>298927</xdr:colOff>
      <xdr:row>107</xdr:row>
      <xdr:rowOff>128975</xdr:rowOff>
    </xdr:to>
    <xdr:sp macro="" textlink="">
      <xdr:nvSpPr>
        <xdr:cNvPr id="64" name="Rectangle 63">
          <a:extLst>
            <a:ext uri="{FF2B5EF4-FFF2-40B4-BE49-F238E27FC236}">
              <a16:creationId xmlns:a16="http://schemas.microsoft.com/office/drawing/2014/main" id="{1213AFA5-0A74-F3D2-3731-67BB134B68DF}"/>
            </a:ext>
          </a:extLst>
        </xdr:cNvPr>
        <xdr:cNvSpPr/>
      </xdr:nvSpPr>
      <xdr:spPr>
        <a:xfrm>
          <a:off x="48123220" y="18481453"/>
          <a:ext cx="1570892" cy="109024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410307</xdr:colOff>
      <xdr:row>3</xdr:row>
      <xdr:rowOff>117230</xdr:rowOff>
    </xdr:from>
    <xdr:to>
      <xdr:col>4</xdr:col>
      <xdr:colOff>324595</xdr:colOff>
      <xdr:row>9</xdr:row>
      <xdr:rowOff>99646</xdr:rowOff>
    </xdr:to>
    <xdr:sp macro="" textlink="" fLocksText="0">
      <xdr:nvSpPr>
        <xdr:cNvPr id="66" name="Flowchart: Alternate Process 65">
          <a:extLst>
            <a:ext uri="{FF2B5EF4-FFF2-40B4-BE49-F238E27FC236}">
              <a16:creationId xmlns:a16="http://schemas.microsoft.com/office/drawing/2014/main" id="{12216FD2-EB24-E0CD-6E86-10A6B0D6AD74}"/>
            </a:ext>
          </a:extLst>
        </xdr:cNvPr>
        <xdr:cNvSpPr/>
      </xdr:nvSpPr>
      <xdr:spPr>
        <a:xfrm>
          <a:off x="1019907" y="662353"/>
          <a:ext cx="1743088" cy="1072662"/>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fLocksWithSheet="0"/>
  </xdr:twoCellAnchor>
  <xdr:twoCellAnchor editAs="absolute">
    <xdr:from>
      <xdr:col>4</xdr:col>
      <xdr:colOff>351692</xdr:colOff>
      <xdr:row>3</xdr:row>
      <xdr:rowOff>123092</xdr:rowOff>
    </xdr:from>
    <xdr:to>
      <xdr:col>7</xdr:col>
      <xdr:colOff>381000</xdr:colOff>
      <xdr:row>9</xdr:row>
      <xdr:rowOff>87923</xdr:rowOff>
    </xdr:to>
    <xdr:sp macro="" textlink="" fLocksText="0">
      <xdr:nvSpPr>
        <xdr:cNvPr id="67" name="Flowchart: Alternate Process 66">
          <a:extLst>
            <a:ext uri="{FF2B5EF4-FFF2-40B4-BE49-F238E27FC236}">
              <a16:creationId xmlns:a16="http://schemas.microsoft.com/office/drawing/2014/main" id="{4516A975-2A20-1827-9AD9-12E45920FB34}"/>
            </a:ext>
          </a:extLst>
        </xdr:cNvPr>
        <xdr:cNvSpPr/>
      </xdr:nvSpPr>
      <xdr:spPr>
        <a:xfrm>
          <a:off x="2790092" y="668215"/>
          <a:ext cx="1858108" cy="1055077"/>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7</xdr:col>
      <xdr:colOff>410308</xdr:colOff>
      <xdr:row>4</xdr:row>
      <xdr:rowOff>3074</xdr:rowOff>
    </xdr:from>
    <xdr:to>
      <xdr:col>10</xdr:col>
      <xdr:colOff>281354</xdr:colOff>
      <xdr:row>9</xdr:row>
      <xdr:rowOff>82062</xdr:rowOff>
    </xdr:to>
    <xdr:sp macro="" textlink="" fLocksText="0">
      <xdr:nvSpPr>
        <xdr:cNvPr id="68" name="Flowchart: Alternate Process 67">
          <a:extLst>
            <a:ext uri="{FF2B5EF4-FFF2-40B4-BE49-F238E27FC236}">
              <a16:creationId xmlns:a16="http://schemas.microsoft.com/office/drawing/2014/main" id="{9DE79B7A-8140-9313-9A6D-F2FD7C2856CE}"/>
            </a:ext>
          </a:extLst>
        </xdr:cNvPr>
        <xdr:cNvSpPr/>
      </xdr:nvSpPr>
      <xdr:spPr>
        <a:xfrm>
          <a:off x="4677508" y="729905"/>
          <a:ext cx="1699846" cy="987526"/>
        </a:xfrm>
        <a:prstGeom prst="flowChartAlternateProcess">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xdr:col>
      <xdr:colOff>433755</xdr:colOff>
      <xdr:row>9</xdr:row>
      <xdr:rowOff>123093</xdr:rowOff>
    </xdr:from>
    <xdr:to>
      <xdr:col>10</xdr:col>
      <xdr:colOff>304801</xdr:colOff>
      <xdr:row>13</xdr:row>
      <xdr:rowOff>11724</xdr:rowOff>
    </xdr:to>
    <xdr:sp macro="" textlink="">
      <xdr:nvSpPr>
        <xdr:cNvPr id="70" name="Rectangle: Rounded Corners 69">
          <a:extLst>
            <a:ext uri="{FF2B5EF4-FFF2-40B4-BE49-F238E27FC236}">
              <a16:creationId xmlns:a16="http://schemas.microsoft.com/office/drawing/2014/main" id="{B54EDA44-C98D-C4B8-E884-983D23B3D65B}"/>
            </a:ext>
          </a:extLst>
        </xdr:cNvPr>
        <xdr:cNvSpPr/>
      </xdr:nvSpPr>
      <xdr:spPr>
        <a:xfrm>
          <a:off x="1043355" y="1758462"/>
          <a:ext cx="5357446" cy="61546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550985</xdr:colOff>
      <xdr:row>0</xdr:row>
      <xdr:rowOff>76200</xdr:rowOff>
    </xdr:from>
    <xdr:to>
      <xdr:col>10</xdr:col>
      <xdr:colOff>269631</xdr:colOff>
      <xdr:row>3</xdr:row>
      <xdr:rowOff>70025</xdr:rowOff>
    </xdr:to>
    <xdr:sp macro="" textlink="">
      <xdr:nvSpPr>
        <xdr:cNvPr id="71" name="Flowchart: Alternate Process 70">
          <a:extLst>
            <a:ext uri="{FF2B5EF4-FFF2-40B4-BE49-F238E27FC236}">
              <a16:creationId xmlns:a16="http://schemas.microsoft.com/office/drawing/2014/main" id="{78F53517-FB07-4A44-EB82-D314C6797023}"/>
            </a:ext>
          </a:extLst>
        </xdr:cNvPr>
        <xdr:cNvSpPr/>
      </xdr:nvSpPr>
      <xdr:spPr>
        <a:xfrm>
          <a:off x="4818185" y="76200"/>
          <a:ext cx="1547446" cy="538948"/>
        </a:xfrm>
        <a:prstGeom prst="flowChartAlternateProcess">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20</xdr:row>
      <xdr:rowOff>105508</xdr:rowOff>
    </xdr:from>
    <xdr:to>
      <xdr:col>17</xdr:col>
      <xdr:colOff>603738</xdr:colOff>
      <xdr:row>20</xdr:row>
      <xdr:rowOff>128954</xdr:rowOff>
    </xdr:to>
    <xdr:cxnSp macro="">
      <xdr:nvCxnSpPr>
        <xdr:cNvPr id="79" name="Straight Connector 78">
          <a:extLst>
            <a:ext uri="{FF2B5EF4-FFF2-40B4-BE49-F238E27FC236}">
              <a16:creationId xmlns:a16="http://schemas.microsoft.com/office/drawing/2014/main" id="{AAC71939-0ADF-58F0-584B-3B4DC4086199}"/>
            </a:ext>
          </a:extLst>
        </xdr:cNvPr>
        <xdr:cNvCxnSpPr/>
      </xdr:nvCxnSpPr>
      <xdr:spPr>
        <a:xfrm flipV="1">
          <a:off x="0" y="3739662"/>
          <a:ext cx="10966938" cy="2344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122336</xdr:colOff>
      <xdr:row>0</xdr:row>
      <xdr:rowOff>24581</xdr:rowOff>
    </xdr:from>
    <xdr:to>
      <xdr:col>17</xdr:col>
      <xdr:colOff>122336</xdr:colOff>
      <xdr:row>20</xdr:row>
      <xdr:rowOff>105508</xdr:rowOff>
    </xdr:to>
    <xdr:cxnSp macro="">
      <xdr:nvCxnSpPr>
        <xdr:cNvPr id="99" name="Straight Connector 98">
          <a:extLst>
            <a:ext uri="{FF2B5EF4-FFF2-40B4-BE49-F238E27FC236}">
              <a16:creationId xmlns:a16="http://schemas.microsoft.com/office/drawing/2014/main" id="{FA558A65-BE5C-0A63-B74A-1B1B725DEC75}"/>
            </a:ext>
          </a:extLst>
        </xdr:cNvPr>
        <xdr:cNvCxnSpPr/>
      </xdr:nvCxnSpPr>
      <xdr:spPr>
        <a:xfrm flipV="1">
          <a:off x="10429820" y="24581"/>
          <a:ext cx="0" cy="368608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10</xdr:col>
      <xdr:colOff>410309</xdr:colOff>
      <xdr:row>10</xdr:row>
      <xdr:rowOff>140678</xdr:rowOff>
    </xdr:from>
    <xdr:to>
      <xdr:col>17</xdr:col>
      <xdr:colOff>147485</xdr:colOff>
      <xdr:row>20</xdr:row>
      <xdr:rowOff>117230</xdr:rowOff>
    </xdr:to>
    <xdr:sp macro="" textlink="">
      <xdr:nvSpPr>
        <xdr:cNvPr id="102" name="Rectangle 101">
          <a:extLst>
            <a:ext uri="{FF2B5EF4-FFF2-40B4-BE49-F238E27FC236}">
              <a16:creationId xmlns:a16="http://schemas.microsoft.com/office/drawing/2014/main" id="{6ED19155-FACE-F265-0FE4-FAC4869F2029}"/>
            </a:ext>
          </a:extLst>
        </xdr:cNvPr>
        <xdr:cNvSpPr/>
      </xdr:nvSpPr>
      <xdr:spPr>
        <a:xfrm>
          <a:off x="6473535" y="1943259"/>
          <a:ext cx="3981434" cy="1779132"/>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463062</xdr:colOff>
      <xdr:row>0</xdr:row>
      <xdr:rowOff>99646</xdr:rowOff>
    </xdr:from>
    <xdr:to>
      <xdr:col>7</xdr:col>
      <xdr:colOff>410308</xdr:colOff>
      <xdr:row>1</xdr:row>
      <xdr:rowOff>140678</xdr:rowOff>
    </xdr:to>
    <xdr:sp macro="" textlink="">
      <xdr:nvSpPr>
        <xdr:cNvPr id="103" name="TextBox 102">
          <a:extLst>
            <a:ext uri="{FF2B5EF4-FFF2-40B4-BE49-F238E27FC236}">
              <a16:creationId xmlns:a16="http://schemas.microsoft.com/office/drawing/2014/main" id="{BC785405-BE00-557B-7AFB-CBB7B2A96DEC}"/>
            </a:ext>
          </a:extLst>
        </xdr:cNvPr>
        <xdr:cNvSpPr txBox="1"/>
      </xdr:nvSpPr>
      <xdr:spPr>
        <a:xfrm>
          <a:off x="1072662" y="99646"/>
          <a:ext cx="3604846" cy="222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800" b="1"/>
            <a:t>Hospital</a:t>
          </a:r>
          <a:r>
            <a:rPr lang="en-IN" sz="1800" b="1" baseline="0"/>
            <a:t> Emergency Room Dashboard</a:t>
          </a:r>
          <a:endParaRPr lang="en-IN" sz="1800" b="1"/>
        </a:p>
      </xdr:txBody>
    </xdr:sp>
    <xdr:clientData/>
  </xdr:twoCellAnchor>
  <xdr:twoCellAnchor editAs="absolute">
    <xdr:from>
      <xdr:col>0</xdr:col>
      <xdr:colOff>134813</xdr:colOff>
      <xdr:row>0</xdr:row>
      <xdr:rowOff>64476</xdr:rowOff>
    </xdr:from>
    <xdr:to>
      <xdr:col>1</xdr:col>
      <xdr:colOff>416168</xdr:colOff>
      <xdr:row>3</xdr:row>
      <xdr:rowOff>82060</xdr:rowOff>
    </xdr:to>
    <xdr:pic>
      <xdr:nvPicPr>
        <xdr:cNvPr id="109" name="Picture 108">
          <a:extLst>
            <a:ext uri="{FF2B5EF4-FFF2-40B4-BE49-F238E27FC236}">
              <a16:creationId xmlns:a16="http://schemas.microsoft.com/office/drawing/2014/main" id="{8192B56F-A83F-7A5F-F0D2-A1EE5817E32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34813" y="64476"/>
          <a:ext cx="890955" cy="562707"/>
        </a:xfrm>
        <a:prstGeom prst="roundRect">
          <a:avLst>
            <a:gd name="adj" fmla="val 8594"/>
          </a:avLst>
        </a:prstGeom>
        <a:solidFill>
          <a:schemeClr val="bg1"/>
        </a:solidFill>
        <a:ln>
          <a:solidFill>
            <a:schemeClr val="bg2">
              <a:lumMod val="75000"/>
            </a:schemeClr>
          </a:solidFill>
        </a:ln>
        <a:effectLst>
          <a:reflection blurRad="12700" stA="0" endPos="28000" dist="5000" dir="5400000" sy="-100000" algn="bl" rotWithShape="0"/>
          <a:softEdge rad="12700"/>
        </a:effectLst>
      </xdr:spPr>
    </xdr:pic>
    <xdr:clientData/>
  </xdr:twoCellAnchor>
  <xdr:twoCellAnchor editAs="absolute">
    <xdr:from>
      <xdr:col>3</xdr:col>
      <xdr:colOff>228600</xdr:colOff>
      <xdr:row>2</xdr:row>
      <xdr:rowOff>0</xdr:rowOff>
    </xdr:from>
    <xdr:to>
      <xdr:col>6</xdr:col>
      <xdr:colOff>181708</xdr:colOff>
      <xdr:row>3</xdr:row>
      <xdr:rowOff>29307</xdr:rowOff>
    </xdr:to>
    <xdr:sp macro="" textlink="">
      <xdr:nvSpPr>
        <xdr:cNvPr id="110" name="TextBox 109">
          <a:extLst>
            <a:ext uri="{FF2B5EF4-FFF2-40B4-BE49-F238E27FC236}">
              <a16:creationId xmlns:a16="http://schemas.microsoft.com/office/drawing/2014/main" id="{BF3C8F0C-3295-D9AE-06C3-E4319815735F}"/>
            </a:ext>
          </a:extLst>
        </xdr:cNvPr>
        <xdr:cNvSpPr txBox="1"/>
      </xdr:nvSpPr>
      <xdr:spPr>
        <a:xfrm>
          <a:off x="2057400" y="363415"/>
          <a:ext cx="1781908" cy="21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r>
            <a:rPr lang="en-IN" sz="1600"/>
            <a:t>Monthly Report</a:t>
          </a:r>
        </a:p>
      </xdr:txBody>
    </xdr:sp>
    <xdr:clientData/>
  </xdr:twoCellAnchor>
  <xdr:twoCellAnchor editAs="absolute">
    <xdr:from>
      <xdr:col>3</xdr:col>
      <xdr:colOff>123092</xdr:colOff>
      <xdr:row>1</xdr:row>
      <xdr:rowOff>175846</xdr:rowOff>
    </xdr:from>
    <xdr:to>
      <xdr:col>5</xdr:col>
      <xdr:colOff>322385</xdr:colOff>
      <xdr:row>3</xdr:row>
      <xdr:rowOff>35168</xdr:rowOff>
    </xdr:to>
    <xdr:sp macro="" textlink="">
      <xdr:nvSpPr>
        <xdr:cNvPr id="111" name="TextBox 110">
          <a:extLst>
            <a:ext uri="{FF2B5EF4-FFF2-40B4-BE49-F238E27FC236}">
              <a16:creationId xmlns:a16="http://schemas.microsoft.com/office/drawing/2014/main" id="{F29E3E45-501A-00C0-39B7-02BDFC7CA9F3}"/>
            </a:ext>
          </a:extLst>
        </xdr:cNvPr>
        <xdr:cNvSpPr txBox="1"/>
      </xdr:nvSpPr>
      <xdr:spPr>
        <a:xfrm>
          <a:off x="1951892" y="357554"/>
          <a:ext cx="1418493" cy="222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lvl="1" algn="r"/>
          <a:endParaRPr lang="en-IN" sz="1100" b="1" i="0" u="none">
            <a:solidFill>
              <a:schemeClr val="tx1"/>
            </a:solidFill>
          </a:endParaRPr>
        </a:p>
      </xdr:txBody>
    </xdr:sp>
    <xdr:clientData/>
  </xdr:twoCellAnchor>
  <xdr:twoCellAnchor editAs="absolute">
    <xdr:from>
      <xdr:col>2</xdr:col>
      <xdr:colOff>375138</xdr:colOff>
      <xdr:row>3</xdr:row>
      <xdr:rowOff>11722</xdr:rowOff>
    </xdr:from>
    <xdr:to>
      <xdr:col>8</xdr:col>
      <xdr:colOff>257908</xdr:colOff>
      <xdr:row>4</xdr:row>
      <xdr:rowOff>152399</xdr:rowOff>
    </xdr:to>
    <xdr:sp macro="" textlink="">
      <xdr:nvSpPr>
        <xdr:cNvPr id="112" name="TextBox 111">
          <a:extLst>
            <a:ext uri="{FF2B5EF4-FFF2-40B4-BE49-F238E27FC236}">
              <a16:creationId xmlns:a16="http://schemas.microsoft.com/office/drawing/2014/main" id="{4D646AC9-B1E7-9E67-C72F-26B7D175D5F6}"/>
            </a:ext>
          </a:extLst>
        </xdr:cNvPr>
        <xdr:cNvSpPr txBox="1"/>
      </xdr:nvSpPr>
      <xdr:spPr>
        <a:xfrm>
          <a:off x="1594338" y="556845"/>
          <a:ext cx="3540370"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endParaRPr lang="en-IN" sz="1600"/>
        </a:p>
      </xdr:txBody>
    </xdr:sp>
    <xdr:clientData/>
  </xdr:twoCellAnchor>
  <xdr:oneCellAnchor>
    <xdr:from>
      <xdr:col>2</xdr:col>
      <xdr:colOff>41031</xdr:colOff>
      <xdr:row>4</xdr:row>
      <xdr:rowOff>140676</xdr:rowOff>
    </xdr:from>
    <xdr:ext cx="1131277" cy="264560"/>
    <xdr:sp macro="" textlink="">
      <xdr:nvSpPr>
        <xdr:cNvPr id="116" name="TextBox 115">
          <a:extLst>
            <a:ext uri="{FF2B5EF4-FFF2-40B4-BE49-F238E27FC236}">
              <a16:creationId xmlns:a16="http://schemas.microsoft.com/office/drawing/2014/main" id="{D11F1532-8EA5-3A00-DFF8-9BC0CB3B6732}"/>
            </a:ext>
          </a:extLst>
        </xdr:cNvPr>
        <xdr:cNvSpPr txBox="1"/>
      </xdr:nvSpPr>
      <xdr:spPr>
        <a:xfrm>
          <a:off x="1260231" y="867507"/>
          <a:ext cx="113127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252046</xdr:colOff>
      <xdr:row>4</xdr:row>
      <xdr:rowOff>11724</xdr:rowOff>
    </xdr:from>
    <xdr:ext cx="750276" cy="298937"/>
    <xdr:sp macro="" textlink="'Pivot Report'!A8">
      <xdr:nvSpPr>
        <xdr:cNvPr id="117" name="TextBox 116">
          <a:extLst>
            <a:ext uri="{FF2B5EF4-FFF2-40B4-BE49-F238E27FC236}">
              <a16:creationId xmlns:a16="http://schemas.microsoft.com/office/drawing/2014/main" id="{33B3FFB0-DB7B-3A9E-1BAF-D7D0FDA638A1}"/>
            </a:ext>
          </a:extLst>
        </xdr:cNvPr>
        <xdr:cNvSpPr txBox="1"/>
      </xdr:nvSpPr>
      <xdr:spPr>
        <a:xfrm>
          <a:off x="1471246" y="738555"/>
          <a:ext cx="750276" cy="298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D4889B01-845A-4EB1-BB05-CF3E043313D3}" type="TxLink">
            <a:rPr lang="en-US" sz="2000" b="1" i="0" u="none" strike="noStrike">
              <a:solidFill>
                <a:srgbClr val="000000"/>
              </a:solidFill>
              <a:latin typeface="Aptos Narrow"/>
            </a:rPr>
            <a:pPr/>
            <a:t>466</a:t>
          </a:fld>
          <a:endParaRPr lang="en-IN" sz="2000" b="1"/>
        </a:p>
      </xdr:txBody>
    </xdr:sp>
    <xdr:clientData/>
  </xdr:oneCellAnchor>
  <xdr:oneCellAnchor>
    <xdr:from>
      <xdr:col>2</xdr:col>
      <xdr:colOff>345831</xdr:colOff>
      <xdr:row>6</xdr:row>
      <xdr:rowOff>82061</xdr:rowOff>
    </xdr:from>
    <xdr:ext cx="1090245" cy="264560"/>
    <xdr:sp macro="" textlink="">
      <xdr:nvSpPr>
        <xdr:cNvPr id="118" name="TextBox 117">
          <a:extLst>
            <a:ext uri="{FF2B5EF4-FFF2-40B4-BE49-F238E27FC236}">
              <a16:creationId xmlns:a16="http://schemas.microsoft.com/office/drawing/2014/main" id="{08A0210F-C07F-331F-153C-3BF1BBDB4FBD}"/>
            </a:ext>
          </a:extLst>
        </xdr:cNvPr>
        <xdr:cNvSpPr txBox="1"/>
      </xdr:nvSpPr>
      <xdr:spPr>
        <a:xfrm>
          <a:off x="1565031" y="11723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498231</xdr:colOff>
      <xdr:row>7</xdr:row>
      <xdr:rowOff>52753</xdr:rowOff>
    </xdr:from>
    <xdr:ext cx="1090245" cy="264560"/>
    <xdr:sp macro="" textlink="">
      <xdr:nvSpPr>
        <xdr:cNvPr id="119" name="TextBox 118">
          <a:extLst>
            <a:ext uri="{FF2B5EF4-FFF2-40B4-BE49-F238E27FC236}">
              <a16:creationId xmlns:a16="http://schemas.microsoft.com/office/drawing/2014/main" id="{27372966-9A78-D689-45D6-968A390E97C3}"/>
            </a:ext>
          </a:extLst>
        </xdr:cNvPr>
        <xdr:cNvSpPr txBox="1"/>
      </xdr:nvSpPr>
      <xdr:spPr>
        <a:xfrm>
          <a:off x="1717431" y="13247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41031</xdr:colOff>
      <xdr:row>8</xdr:row>
      <xdr:rowOff>23445</xdr:rowOff>
    </xdr:from>
    <xdr:ext cx="1090245" cy="264560"/>
    <xdr:sp macro="" textlink="">
      <xdr:nvSpPr>
        <xdr:cNvPr id="120" name="TextBox 119">
          <a:extLst>
            <a:ext uri="{FF2B5EF4-FFF2-40B4-BE49-F238E27FC236}">
              <a16:creationId xmlns:a16="http://schemas.microsoft.com/office/drawing/2014/main" id="{4C2C3F1E-8AD5-1D74-2155-F7DC241086B0}"/>
            </a:ext>
          </a:extLst>
        </xdr:cNvPr>
        <xdr:cNvSpPr txBox="1"/>
      </xdr:nvSpPr>
      <xdr:spPr>
        <a:xfrm>
          <a:off x="1869831" y="14771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193431</xdr:colOff>
      <xdr:row>8</xdr:row>
      <xdr:rowOff>175845</xdr:rowOff>
    </xdr:from>
    <xdr:ext cx="1090245" cy="264560"/>
    <xdr:sp macro="" textlink="">
      <xdr:nvSpPr>
        <xdr:cNvPr id="121" name="TextBox 120">
          <a:extLst>
            <a:ext uri="{FF2B5EF4-FFF2-40B4-BE49-F238E27FC236}">
              <a16:creationId xmlns:a16="http://schemas.microsoft.com/office/drawing/2014/main" id="{CE369B3B-A583-E444-E0F5-0706C4A423AF}"/>
            </a:ext>
          </a:extLst>
        </xdr:cNvPr>
        <xdr:cNvSpPr txBox="1"/>
      </xdr:nvSpPr>
      <xdr:spPr>
        <a:xfrm>
          <a:off x="2022231" y="16295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345831</xdr:colOff>
      <xdr:row>9</xdr:row>
      <xdr:rowOff>146538</xdr:rowOff>
    </xdr:from>
    <xdr:ext cx="1090245" cy="264560"/>
    <xdr:sp macro="" textlink="">
      <xdr:nvSpPr>
        <xdr:cNvPr id="122" name="TextBox 121">
          <a:extLst>
            <a:ext uri="{FF2B5EF4-FFF2-40B4-BE49-F238E27FC236}">
              <a16:creationId xmlns:a16="http://schemas.microsoft.com/office/drawing/2014/main" id="{3E1192DE-B5B4-7F23-7BE5-DBD53B7D3507}"/>
            </a:ext>
          </a:extLst>
        </xdr:cNvPr>
        <xdr:cNvSpPr txBox="1"/>
      </xdr:nvSpPr>
      <xdr:spPr>
        <a:xfrm>
          <a:off x="2174631" y="17819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3</xdr:col>
      <xdr:colOff>498231</xdr:colOff>
      <xdr:row>10</xdr:row>
      <xdr:rowOff>117230</xdr:rowOff>
    </xdr:from>
    <xdr:ext cx="1090245" cy="264560"/>
    <xdr:sp macro="" textlink="">
      <xdr:nvSpPr>
        <xdr:cNvPr id="123" name="TextBox 122">
          <a:extLst>
            <a:ext uri="{FF2B5EF4-FFF2-40B4-BE49-F238E27FC236}">
              <a16:creationId xmlns:a16="http://schemas.microsoft.com/office/drawing/2014/main" id="{B930A75F-AEED-903B-8F20-271F35395BB3}"/>
            </a:ext>
          </a:extLst>
        </xdr:cNvPr>
        <xdr:cNvSpPr txBox="1"/>
      </xdr:nvSpPr>
      <xdr:spPr>
        <a:xfrm>
          <a:off x="2327031" y="19343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41031</xdr:colOff>
      <xdr:row>11</xdr:row>
      <xdr:rowOff>87922</xdr:rowOff>
    </xdr:from>
    <xdr:ext cx="1090245" cy="264560"/>
    <xdr:sp macro="" textlink="">
      <xdr:nvSpPr>
        <xdr:cNvPr id="124" name="TextBox 123">
          <a:extLst>
            <a:ext uri="{FF2B5EF4-FFF2-40B4-BE49-F238E27FC236}">
              <a16:creationId xmlns:a16="http://schemas.microsoft.com/office/drawing/2014/main" id="{50FF0202-0547-DD75-07C9-8DB05E33D186}"/>
            </a:ext>
          </a:extLst>
        </xdr:cNvPr>
        <xdr:cNvSpPr txBox="1"/>
      </xdr:nvSpPr>
      <xdr:spPr>
        <a:xfrm>
          <a:off x="2479431" y="20867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193431</xdr:colOff>
      <xdr:row>12</xdr:row>
      <xdr:rowOff>58615</xdr:rowOff>
    </xdr:from>
    <xdr:ext cx="1090245" cy="264560"/>
    <xdr:sp macro="" textlink="">
      <xdr:nvSpPr>
        <xdr:cNvPr id="125" name="TextBox 124">
          <a:extLst>
            <a:ext uri="{FF2B5EF4-FFF2-40B4-BE49-F238E27FC236}">
              <a16:creationId xmlns:a16="http://schemas.microsoft.com/office/drawing/2014/main" id="{15AEA7DE-5BA3-6A2D-7A65-E9E13B8DDAE9}"/>
            </a:ext>
          </a:extLst>
        </xdr:cNvPr>
        <xdr:cNvSpPr txBox="1"/>
      </xdr:nvSpPr>
      <xdr:spPr>
        <a:xfrm>
          <a:off x="2631831" y="22391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345831</xdr:colOff>
      <xdr:row>13</xdr:row>
      <xdr:rowOff>29307</xdr:rowOff>
    </xdr:from>
    <xdr:ext cx="1090245" cy="264560"/>
    <xdr:sp macro="" textlink="">
      <xdr:nvSpPr>
        <xdr:cNvPr id="126" name="TextBox 125">
          <a:extLst>
            <a:ext uri="{FF2B5EF4-FFF2-40B4-BE49-F238E27FC236}">
              <a16:creationId xmlns:a16="http://schemas.microsoft.com/office/drawing/2014/main" id="{20E9DCB5-08F5-5B44-28A5-0BEE90E9E24A}"/>
            </a:ext>
          </a:extLst>
        </xdr:cNvPr>
        <xdr:cNvSpPr txBox="1"/>
      </xdr:nvSpPr>
      <xdr:spPr>
        <a:xfrm>
          <a:off x="2784231" y="23915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4</xdr:col>
      <xdr:colOff>498231</xdr:colOff>
      <xdr:row>13</xdr:row>
      <xdr:rowOff>181707</xdr:rowOff>
    </xdr:from>
    <xdr:ext cx="1090245" cy="264560"/>
    <xdr:sp macro="" textlink="">
      <xdr:nvSpPr>
        <xdr:cNvPr id="127" name="TextBox 126">
          <a:extLst>
            <a:ext uri="{FF2B5EF4-FFF2-40B4-BE49-F238E27FC236}">
              <a16:creationId xmlns:a16="http://schemas.microsoft.com/office/drawing/2014/main" id="{CEBBFB6E-D79B-0090-1E37-854C7EB24F14}"/>
            </a:ext>
          </a:extLst>
        </xdr:cNvPr>
        <xdr:cNvSpPr txBox="1"/>
      </xdr:nvSpPr>
      <xdr:spPr>
        <a:xfrm>
          <a:off x="2936631" y="25439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5</xdr:col>
      <xdr:colOff>41031</xdr:colOff>
      <xdr:row>14</xdr:row>
      <xdr:rowOff>152399</xdr:rowOff>
    </xdr:from>
    <xdr:ext cx="1090245" cy="264560"/>
    <xdr:sp macro="" textlink="">
      <xdr:nvSpPr>
        <xdr:cNvPr id="128" name="TextBox 127">
          <a:extLst>
            <a:ext uri="{FF2B5EF4-FFF2-40B4-BE49-F238E27FC236}">
              <a16:creationId xmlns:a16="http://schemas.microsoft.com/office/drawing/2014/main" id="{BED9C477-A062-7092-0496-E780F7FDCC4D}"/>
            </a:ext>
          </a:extLst>
        </xdr:cNvPr>
        <xdr:cNvSpPr txBox="1"/>
      </xdr:nvSpPr>
      <xdr:spPr>
        <a:xfrm>
          <a:off x="3089031" y="26963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5</xdr:col>
      <xdr:colOff>345831</xdr:colOff>
      <xdr:row>16</xdr:row>
      <xdr:rowOff>93784</xdr:rowOff>
    </xdr:from>
    <xdr:ext cx="1090245" cy="264560"/>
    <xdr:sp macro="" textlink="">
      <xdr:nvSpPr>
        <xdr:cNvPr id="130" name="TextBox 129">
          <a:extLst>
            <a:ext uri="{FF2B5EF4-FFF2-40B4-BE49-F238E27FC236}">
              <a16:creationId xmlns:a16="http://schemas.microsoft.com/office/drawing/2014/main" id="{31546504-03DF-A65B-B970-B9C0BD655B46}"/>
            </a:ext>
          </a:extLst>
        </xdr:cNvPr>
        <xdr:cNvSpPr txBox="1"/>
      </xdr:nvSpPr>
      <xdr:spPr>
        <a:xfrm>
          <a:off x="3393831" y="30011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5</xdr:col>
      <xdr:colOff>498231</xdr:colOff>
      <xdr:row>17</xdr:row>
      <xdr:rowOff>64476</xdr:rowOff>
    </xdr:from>
    <xdr:ext cx="1090245" cy="264560"/>
    <xdr:sp macro="" textlink="">
      <xdr:nvSpPr>
        <xdr:cNvPr id="131" name="TextBox 130">
          <a:extLst>
            <a:ext uri="{FF2B5EF4-FFF2-40B4-BE49-F238E27FC236}">
              <a16:creationId xmlns:a16="http://schemas.microsoft.com/office/drawing/2014/main" id="{9A6BF5DE-378C-ADF7-0C9E-5917257960C1}"/>
            </a:ext>
          </a:extLst>
        </xdr:cNvPr>
        <xdr:cNvSpPr txBox="1"/>
      </xdr:nvSpPr>
      <xdr:spPr>
        <a:xfrm>
          <a:off x="3546231" y="31535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6</xdr:col>
      <xdr:colOff>41031</xdr:colOff>
      <xdr:row>18</xdr:row>
      <xdr:rowOff>35169</xdr:rowOff>
    </xdr:from>
    <xdr:ext cx="1090245" cy="264560"/>
    <xdr:sp macro="" textlink="">
      <xdr:nvSpPr>
        <xdr:cNvPr id="132" name="TextBox 131">
          <a:extLst>
            <a:ext uri="{FF2B5EF4-FFF2-40B4-BE49-F238E27FC236}">
              <a16:creationId xmlns:a16="http://schemas.microsoft.com/office/drawing/2014/main" id="{152B84E8-C877-31A6-88BC-2921EBBB0DB1}"/>
            </a:ext>
          </a:extLst>
        </xdr:cNvPr>
        <xdr:cNvSpPr txBox="1"/>
      </xdr:nvSpPr>
      <xdr:spPr>
        <a:xfrm>
          <a:off x="3698631" y="33059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6</xdr:col>
      <xdr:colOff>193431</xdr:colOff>
      <xdr:row>19</xdr:row>
      <xdr:rowOff>5861</xdr:rowOff>
    </xdr:from>
    <xdr:ext cx="1090245" cy="264560"/>
    <xdr:sp macro="" textlink="">
      <xdr:nvSpPr>
        <xdr:cNvPr id="133" name="TextBox 132">
          <a:extLst>
            <a:ext uri="{FF2B5EF4-FFF2-40B4-BE49-F238E27FC236}">
              <a16:creationId xmlns:a16="http://schemas.microsoft.com/office/drawing/2014/main" id="{6C4AF87A-448B-EB25-0C42-6BC4540B61CA}"/>
            </a:ext>
          </a:extLst>
        </xdr:cNvPr>
        <xdr:cNvSpPr txBox="1"/>
      </xdr:nvSpPr>
      <xdr:spPr>
        <a:xfrm>
          <a:off x="3851031" y="34583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6</xdr:col>
      <xdr:colOff>345831</xdr:colOff>
      <xdr:row>19</xdr:row>
      <xdr:rowOff>158261</xdr:rowOff>
    </xdr:from>
    <xdr:ext cx="1090245" cy="264560"/>
    <xdr:sp macro="" textlink="">
      <xdr:nvSpPr>
        <xdr:cNvPr id="134" name="TextBox 133">
          <a:extLst>
            <a:ext uri="{FF2B5EF4-FFF2-40B4-BE49-F238E27FC236}">
              <a16:creationId xmlns:a16="http://schemas.microsoft.com/office/drawing/2014/main" id="{309146F8-DBF6-C5A9-5A57-4EE265466E8B}"/>
            </a:ext>
          </a:extLst>
        </xdr:cNvPr>
        <xdr:cNvSpPr txBox="1"/>
      </xdr:nvSpPr>
      <xdr:spPr>
        <a:xfrm>
          <a:off x="4003431" y="36107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6</xdr:col>
      <xdr:colOff>498231</xdr:colOff>
      <xdr:row>20</xdr:row>
      <xdr:rowOff>128953</xdr:rowOff>
    </xdr:from>
    <xdr:ext cx="1090245" cy="264560"/>
    <xdr:sp macro="" textlink="">
      <xdr:nvSpPr>
        <xdr:cNvPr id="135" name="TextBox 134">
          <a:extLst>
            <a:ext uri="{FF2B5EF4-FFF2-40B4-BE49-F238E27FC236}">
              <a16:creationId xmlns:a16="http://schemas.microsoft.com/office/drawing/2014/main" id="{76055BCC-9E8C-1B8D-4DE3-B5615F5E8BE1}"/>
            </a:ext>
          </a:extLst>
        </xdr:cNvPr>
        <xdr:cNvSpPr txBox="1"/>
      </xdr:nvSpPr>
      <xdr:spPr>
        <a:xfrm>
          <a:off x="4155831" y="37631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41031</xdr:colOff>
      <xdr:row>21</xdr:row>
      <xdr:rowOff>99645</xdr:rowOff>
    </xdr:from>
    <xdr:ext cx="1090245" cy="264560"/>
    <xdr:sp macro="" textlink="">
      <xdr:nvSpPr>
        <xdr:cNvPr id="136" name="TextBox 135">
          <a:extLst>
            <a:ext uri="{FF2B5EF4-FFF2-40B4-BE49-F238E27FC236}">
              <a16:creationId xmlns:a16="http://schemas.microsoft.com/office/drawing/2014/main" id="{4C88B9E3-20AD-DA9F-1E26-6C0CB2F864E8}"/>
            </a:ext>
          </a:extLst>
        </xdr:cNvPr>
        <xdr:cNvSpPr txBox="1"/>
      </xdr:nvSpPr>
      <xdr:spPr>
        <a:xfrm>
          <a:off x="4308231" y="39155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193431</xdr:colOff>
      <xdr:row>22</xdr:row>
      <xdr:rowOff>70338</xdr:rowOff>
    </xdr:from>
    <xdr:ext cx="1090245" cy="264560"/>
    <xdr:sp macro="" textlink="">
      <xdr:nvSpPr>
        <xdr:cNvPr id="137" name="TextBox 136">
          <a:extLst>
            <a:ext uri="{FF2B5EF4-FFF2-40B4-BE49-F238E27FC236}">
              <a16:creationId xmlns:a16="http://schemas.microsoft.com/office/drawing/2014/main" id="{BF93F04E-B445-2622-1E9B-F0BFD67D5DEC}"/>
            </a:ext>
          </a:extLst>
        </xdr:cNvPr>
        <xdr:cNvSpPr txBox="1"/>
      </xdr:nvSpPr>
      <xdr:spPr>
        <a:xfrm>
          <a:off x="4460631" y="40679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345831</xdr:colOff>
      <xdr:row>23</xdr:row>
      <xdr:rowOff>41030</xdr:rowOff>
    </xdr:from>
    <xdr:ext cx="1090245" cy="264560"/>
    <xdr:sp macro="" textlink="">
      <xdr:nvSpPr>
        <xdr:cNvPr id="138" name="TextBox 137">
          <a:extLst>
            <a:ext uri="{FF2B5EF4-FFF2-40B4-BE49-F238E27FC236}">
              <a16:creationId xmlns:a16="http://schemas.microsoft.com/office/drawing/2014/main" id="{780CF9EB-3678-E7C3-7554-6DCE4D9B9F52}"/>
            </a:ext>
          </a:extLst>
        </xdr:cNvPr>
        <xdr:cNvSpPr txBox="1"/>
      </xdr:nvSpPr>
      <xdr:spPr>
        <a:xfrm>
          <a:off x="4613031" y="42203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7</xdr:col>
      <xdr:colOff>498231</xdr:colOff>
      <xdr:row>24</xdr:row>
      <xdr:rowOff>11722</xdr:rowOff>
    </xdr:from>
    <xdr:ext cx="1090245" cy="264560"/>
    <xdr:sp macro="" textlink="">
      <xdr:nvSpPr>
        <xdr:cNvPr id="139" name="TextBox 138">
          <a:extLst>
            <a:ext uri="{FF2B5EF4-FFF2-40B4-BE49-F238E27FC236}">
              <a16:creationId xmlns:a16="http://schemas.microsoft.com/office/drawing/2014/main" id="{0BCB8D96-BFC0-9FEF-CBD0-D4EDD2A6A11C}"/>
            </a:ext>
          </a:extLst>
        </xdr:cNvPr>
        <xdr:cNvSpPr txBox="1"/>
      </xdr:nvSpPr>
      <xdr:spPr>
        <a:xfrm>
          <a:off x="4765431" y="43727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8</xdr:col>
      <xdr:colOff>41031</xdr:colOff>
      <xdr:row>24</xdr:row>
      <xdr:rowOff>164122</xdr:rowOff>
    </xdr:from>
    <xdr:ext cx="1090245" cy="264560"/>
    <xdr:sp macro="" textlink="">
      <xdr:nvSpPr>
        <xdr:cNvPr id="140" name="TextBox 139">
          <a:extLst>
            <a:ext uri="{FF2B5EF4-FFF2-40B4-BE49-F238E27FC236}">
              <a16:creationId xmlns:a16="http://schemas.microsoft.com/office/drawing/2014/main" id="{E40D70C1-53DD-B891-C7F8-5AE6EE1FD5DE}"/>
            </a:ext>
          </a:extLst>
        </xdr:cNvPr>
        <xdr:cNvSpPr txBox="1"/>
      </xdr:nvSpPr>
      <xdr:spPr>
        <a:xfrm>
          <a:off x="4917831" y="45251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8</xdr:col>
      <xdr:colOff>193431</xdr:colOff>
      <xdr:row>25</xdr:row>
      <xdr:rowOff>134815</xdr:rowOff>
    </xdr:from>
    <xdr:ext cx="1090245" cy="264560"/>
    <xdr:sp macro="" textlink="">
      <xdr:nvSpPr>
        <xdr:cNvPr id="141" name="TextBox 140">
          <a:extLst>
            <a:ext uri="{FF2B5EF4-FFF2-40B4-BE49-F238E27FC236}">
              <a16:creationId xmlns:a16="http://schemas.microsoft.com/office/drawing/2014/main" id="{C82602F0-FF35-0409-4A69-B7F1F0DC9245}"/>
            </a:ext>
          </a:extLst>
        </xdr:cNvPr>
        <xdr:cNvSpPr txBox="1"/>
      </xdr:nvSpPr>
      <xdr:spPr>
        <a:xfrm>
          <a:off x="5070231" y="46775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8</xdr:col>
      <xdr:colOff>345831</xdr:colOff>
      <xdr:row>26</xdr:row>
      <xdr:rowOff>105507</xdr:rowOff>
    </xdr:from>
    <xdr:ext cx="1090245" cy="264560"/>
    <xdr:sp macro="" textlink="">
      <xdr:nvSpPr>
        <xdr:cNvPr id="142" name="TextBox 141">
          <a:extLst>
            <a:ext uri="{FF2B5EF4-FFF2-40B4-BE49-F238E27FC236}">
              <a16:creationId xmlns:a16="http://schemas.microsoft.com/office/drawing/2014/main" id="{8B9E1C63-84B6-B55B-0075-29305A41A31F}"/>
            </a:ext>
          </a:extLst>
        </xdr:cNvPr>
        <xdr:cNvSpPr txBox="1"/>
      </xdr:nvSpPr>
      <xdr:spPr>
        <a:xfrm>
          <a:off x="5222631" y="4829907"/>
          <a:ext cx="10902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oneCellAnchor>
    <xdr:from>
      <xdr:col>2</xdr:col>
      <xdr:colOff>111369</xdr:colOff>
      <xdr:row>5</xdr:row>
      <xdr:rowOff>146539</xdr:rowOff>
    </xdr:from>
    <xdr:ext cx="1019908" cy="257908"/>
    <xdr:sp macro="" textlink="">
      <xdr:nvSpPr>
        <xdr:cNvPr id="143" name="TextBox 142">
          <a:extLst>
            <a:ext uri="{FF2B5EF4-FFF2-40B4-BE49-F238E27FC236}">
              <a16:creationId xmlns:a16="http://schemas.microsoft.com/office/drawing/2014/main" id="{36F3DFEC-98E7-29D2-CB78-F0E32817B8FB}"/>
            </a:ext>
          </a:extLst>
        </xdr:cNvPr>
        <xdr:cNvSpPr txBox="1"/>
      </xdr:nvSpPr>
      <xdr:spPr>
        <a:xfrm>
          <a:off x="1330569" y="1055077"/>
          <a:ext cx="1019908" cy="2579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tx1"/>
              </a:solidFill>
            </a:rPr>
            <a:t>No.</a:t>
          </a:r>
          <a:r>
            <a:rPr lang="en-IN" sz="1100" b="1" baseline="0">
              <a:solidFill>
                <a:schemeClr val="tx1"/>
              </a:solidFill>
            </a:rPr>
            <a:t> of Patient</a:t>
          </a:r>
          <a:endParaRPr lang="en-IN" sz="1100" b="1">
            <a:solidFill>
              <a:schemeClr val="tx1"/>
            </a:solidFill>
          </a:endParaRPr>
        </a:p>
      </xdr:txBody>
    </xdr:sp>
    <xdr:clientData/>
  </xdr:oneCellAnchor>
  <xdr:oneCellAnchor>
    <xdr:from>
      <xdr:col>5</xdr:col>
      <xdr:colOff>257907</xdr:colOff>
      <xdr:row>4</xdr:row>
      <xdr:rowOff>111367</xdr:rowOff>
    </xdr:from>
    <xdr:ext cx="744416" cy="339969"/>
    <xdr:sp macro="" textlink="">
      <xdr:nvSpPr>
        <xdr:cNvPr id="144" name="TextBox 143">
          <a:extLst>
            <a:ext uri="{FF2B5EF4-FFF2-40B4-BE49-F238E27FC236}">
              <a16:creationId xmlns:a16="http://schemas.microsoft.com/office/drawing/2014/main" id="{576FAF7B-0AA2-2264-A05D-B0B97B760023}"/>
            </a:ext>
          </a:extLst>
        </xdr:cNvPr>
        <xdr:cNvSpPr txBox="1"/>
      </xdr:nvSpPr>
      <xdr:spPr>
        <a:xfrm>
          <a:off x="3305907" y="838198"/>
          <a:ext cx="744416" cy="339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endParaRPr lang="en-US" sz="2000" b="1" i="0" u="none" strike="noStrike">
            <a:solidFill>
              <a:srgbClr val="000000"/>
            </a:solidFill>
            <a:latin typeface="Aptos Narrow"/>
          </a:endParaRPr>
        </a:p>
      </xdr:txBody>
    </xdr:sp>
    <xdr:clientData/>
  </xdr:oneCellAnchor>
  <xdr:oneCellAnchor>
    <xdr:from>
      <xdr:col>5</xdr:col>
      <xdr:colOff>0</xdr:colOff>
      <xdr:row>6</xdr:row>
      <xdr:rowOff>35170</xdr:rowOff>
    </xdr:from>
    <xdr:ext cx="1248508" cy="281354"/>
    <xdr:sp macro="" textlink="">
      <xdr:nvSpPr>
        <xdr:cNvPr id="145" name="TextBox 144">
          <a:extLst>
            <a:ext uri="{FF2B5EF4-FFF2-40B4-BE49-F238E27FC236}">
              <a16:creationId xmlns:a16="http://schemas.microsoft.com/office/drawing/2014/main" id="{B53EE77B-28E4-6B01-D7EE-123B8BB58C2B}"/>
            </a:ext>
          </a:extLst>
        </xdr:cNvPr>
        <xdr:cNvSpPr txBox="1"/>
      </xdr:nvSpPr>
      <xdr:spPr>
        <a:xfrm>
          <a:off x="3048000" y="1125416"/>
          <a:ext cx="1248508" cy="2813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tx1"/>
              </a:solidFill>
            </a:rPr>
            <a:t>Average</a:t>
          </a:r>
          <a:r>
            <a:rPr lang="en-IN" sz="1100" b="1" baseline="0">
              <a:solidFill>
                <a:schemeClr val="tx1"/>
              </a:solidFill>
            </a:rPr>
            <a:t> wait </a:t>
          </a:r>
          <a:r>
            <a:rPr lang="en-IN" sz="1050" b="1" baseline="0">
              <a:solidFill>
                <a:schemeClr val="tx1"/>
              </a:solidFill>
            </a:rPr>
            <a:t>Time</a:t>
          </a:r>
          <a:endParaRPr lang="en-IN" sz="1050" b="1">
            <a:solidFill>
              <a:schemeClr val="tx1"/>
            </a:solidFill>
          </a:endParaRPr>
        </a:p>
      </xdr:txBody>
    </xdr:sp>
    <xdr:clientData/>
  </xdr:oneCellAnchor>
  <xdr:oneCellAnchor>
    <xdr:from>
      <xdr:col>7</xdr:col>
      <xdr:colOff>480646</xdr:colOff>
      <xdr:row>5</xdr:row>
      <xdr:rowOff>169985</xdr:rowOff>
    </xdr:from>
    <xdr:ext cx="1611923" cy="234462"/>
    <xdr:sp macro="" textlink="">
      <xdr:nvSpPr>
        <xdr:cNvPr id="146" name="TextBox 145">
          <a:extLst>
            <a:ext uri="{FF2B5EF4-FFF2-40B4-BE49-F238E27FC236}">
              <a16:creationId xmlns:a16="http://schemas.microsoft.com/office/drawing/2014/main" id="{E0E4A614-D7B7-C2B6-1B21-59AC31A07BEB}"/>
            </a:ext>
          </a:extLst>
        </xdr:cNvPr>
        <xdr:cNvSpPr txBox="1"/>
      </xdr:nvSpPr>
      <xdr:spPr>
        <a:xfrm>
          <a:off x="4747846" y="1078523"/>
          <a:ext cx="1611923" cy="2344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solidFill>
                <a:schemeClr val="tx1"/>
              </a:solidFill>
            </a:rPr>
            <a:t>Patient</a:t>
          </a:r>
          <a:r>
            <a:rPr lang="en-IN" sz="1050" b="1" baseline="0">
              <a:solidFill>
                <a:schemeClr val="tx1"/>
              </a:solidFill>
            </a:rPr>
            <a:t> Satisfaction Score</a:t>
          </a:r>
          <a:endParaRPr lang="en-IN" sz="1050" b="1">
            <a:solidFill>
              <a:schemeClr val="tx1"/>
            </a:solidFill>
          </a:endParaRPr>
        </a:p>
      </xdr:txBody>
    </xdr:sp>
    <xdr:clientData/>
  </xdr:oneCellAnchor>
  <xdr:oneCellAnchor>
    <xdr:from>
      <xdr:col>5</xdr:col>
      <xdr:colOff>70338</xdr:colOff>
      <xdr:row>4</xdr:row>
      <xdr:rowOff>0</xdr:rowOff>
    </xdr:from>
    <xdr:ext cx="814754" cy="345830"/>
    <xdr:sp macro="" textlink="'Pivot Report'!A15">
      <xdr:nvSpPr>
        <xdr:cNvPr id="147" name="TextBox 146">
          <a:extLst>
            <a:ext uri="{FF2B5EF4-FFF2-40B4-BE49-F238E27FC236}">
              <a16:creationId xmlns:a16="http://schemas.microsoft.com/office/drawing/2014/main" id="{4D171BD2-F490-E884-03FC-F23A9CC4CF7F}"/>
            </a:ext>
          </a:extLst>
        </xdr:cNvPr>
        <xdr:cNvSpPr txBox="1"/>
      </xdr:nvSpPr>
      <xdr:spPr>
        <a:xfrm>
          <a:off x="3118338" y="726831"/>
          <a:ext cx="814754" cy="3458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7AF633E0-DDC5-4B20-8817-EAEB2D7B2602}" type="TxLink">
            <a:rPr lang="en-US" sz="2000" b="1" i="0" u="none" strike="noStrike">
              <a:solidFill>
                <a:srgbClr val="000000"/>
              </a:solidFill>
              <a:latin typeface="Aptos Narrow"/>
            </a:rPr>
            <a:pPr/>
            <a:t>35.06</a:t>
          </a:fld>
          <a:endParaRPr lang="en-IN" sz="2000" b="1"/>
        </a:p>
      </xdr:txBody>
    </xdr:sp>
    <xdr:clientData/>
  </xdr:oneCellAnchor>
  <xdr:oneCellAnchor>
    <xdr:from>
      <xdr:col>8</xdr:col>
      <xdr:colOff>82062</xdr:colOff>
      <xdr:row>4</xdr:row>
      <xdr:rowOff>46893</xdr:rowOff>
    </xdr:from>
    <xdr:ext cx="703383" cy="310660"/>
    <xdr:sp macro="" textlink="'Pivot Report'!A22">
      <xdr:nvSpPr>
        <xdr:cNvPr id="148" name="TextBox 147">
          <a:extLst>
            <a:ext uri="{FF2B5EF4-FFF2-40B4-BE49-F238E27FC236}">
              <a16:creationId xmlns:a16="http://schemas.microsoft.com/office/drawing/2014/main" id="{597E9454-1FC2-2229-2754-7D6E6CDD52C1}"/>
            </a:ext>
          </a:extLst>
        </xdr:cNvPr>
        <xdr:cNvSpPr txBox="1"/>
      </xdr:nvSpPr>
      <xdr:spPr>
        <a:xfrm>
          <a:off x="4958862" y="773724"/>
          <a:ext cx="703383" cy="310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0534DD48-615A-41ED-ADB2-1527E09A08C6}" type="TxLink">
            <a:rPr lang="en-US" sz="2000" b="1" i="0" u="none" strike="noStrike">
              <a:solidFill>
                <a:srgbClr val="000000"/>
              </a:solidFill>
              <a:latin typeface="Aptos Narrow"/>
            </a:rPr>
            <a:pPr/>
            <a:t>4.91</a:t>
          </a:fld>
          <a:endParaRPr lang="en-IN" sz="2000" b="1"/>
        </a:p>
      </xdr:txBody>
    </xdr:sp>
    <xdr:clientData/>
  </xdr:oneCellAnchor>
  <xdr:twoCellAnchor editAs="oneCell">
    <xdr:from>
      <xdr:col>6</xdr:col>
      <xdr:colOff>263769</xdr:colOff>
      <xdr:row>4</xdr:row>
      <xdr:rowOff>46892</xdr:rowOff>
    </xdr:from>
    <xdr:to>
      <xdr:col>7</xdr:col>
      <xdr:colOff>128955</xdr:colOff>
      <xdr:row>6</xdr:row>
      <xdr:rowOff>29308</xdr:rowOff>
    </xdr:to>
    <xdr:pic>
      <xdr:nvPicPr>
        <xdr:cNvPr id="150" name="Graphic 149" descr="Stopwatch with solid fill">
          <a:extLst>
            <a:ext uri="{FF2B5EF4-FFF2-40B4-BE49-F238E27FC236}">
              <a16:creationId xmlns:a16="http://schemas.microsoft.com/office/drawing/2014/main" id="{6AF34FA4-B4EB-0BA2-D1A5-606B398AE61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921369" y="773723"/>
          <a:ext cx="474786" cy="345831"/>
        </a:xfrm>
        <a:prstGeom prst="rect">
          <a:avLst/>
        </a:prstGeom>
      </xdr:spPr>
    </xdr:pic>
    <xdr:clientData/>
  </xdr:twoCellAnchor>
  <xdr:twoCellAnchor editAs="oneCell">
    <xdr:from>
      <xdr:col>9</xdr:col>
      <xdr:colOff>199291</xdr:colOff>
      <xdr:row>3</xdr:row>
      <xdr:rowOff>105508</xdr:rowOff>
    </xdr:from>
    <xdr:to>
      <xdr:col>10</xdr:col>
      <xdr:colOff>193430</xdr:colOff>
      <xdr:row>6</xdr:row>
      <xdr:rowOff>58616</xdr:rowOff>
    </xdr:to>
    <xdr:pic>
      <xdr:nvPicPr>
        <xdr:cNvPr id="152" name="Graphic 151" descr="Rating Star with solid fill">
          <a:extLst>
            <a:ext uri="{FF2B5EF4-FFF2-40B4-BE49-F238E27FC236}">
              <a16:creationId xmlns:a16="http://schemas.microsoft.com/office/drawing/2014/main" id="{20E26A08-BB21-3EA0-D24B-74E3A5683C6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85691" y="650631"/>
          <a:ext cx="603739" cy="498231"/>
        </a:xfrm>
        <a:prstGeom prst="rect">
          <a:avLst/>
        </a:prstGeom>
      </xdr:spPr>
    </xdr:pic>
    <xdr:clientData/>
  </xdr:twoCellAnchor>
  <xdr:twoCellAnchor editAs="oneCell">
    <xdr:from>
      <xdr:col>3</xdr:col>
      <xdr:colOff>281353</xdr:colOff>
      <xdr:row>4</xdr:row>
      <xdr:rowOff>29307</xdr:rowOff>
    </xdr:from>
    <xdr:to>
      <xdr:col>4</xdr:col>
      <xdr:colOff>228598</xdr:colOff>
      <xdr:row>5</xdr:row>
      <xdr:rowOff>140677</xdr:rowOff>
    </xdr:to>
    <xdr:pic>
      <xdr:nvPicPr>
        <xdr:cNvPr id="154" name="Graphic 153" descr="Inpatient with solid fill">
          <a:extLst>
            <a:ext uri="{FF2B5EF4-FFF2-40B4-BE49-F238E27FC236}">
              <a16:creationId xmlns:a16="http://schemas.microsoft.com/office/drawing/2014/main" id="{0E45259C-CD17-D566-E095-9F83C2C95FB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0153" y="756138"/>
          <a:ext cx="556845" cy="293077"/>
        </a:xfrm>
        <a:prstGeom prst="rect">
          <a:avLst/>
        </a:prstGeom>
      </xdr:spPr>
    </xdr:pic>
    <xdr:clientData/>
  </xdr:twoCellAnchor>
  <xdr:twoCellAnchor editAs="oneCell">
    <xdr:from>
      <xdr:col>0</xdr:col>
      <xdr:colOff>87922</xdr:colOff>
      <xdr:row>4</xdr:row>
      <xdr:rowOff>17584</xdr:rowOff>
    </xdr:from>
    <xdr:to>
      <xdr:col>1</xdr:col>
      <xdr:colOff>345831</xdr:colOff>
      <xdr:row>20</xdr:row>
      <xdr:rowOff>99646</xdr:rowOff>
    </xdr:to>
    <mc:AlternateContent xmlns:mc="http://schemas.openxmlformats.org/markup-compatibility/2006" xmlns:a14="http://schemas.microsoft.com/office/drawing/2010/main">
      <mc:Choice Requires="a14">
        <xdr:graphicFrame macro="">
          <xdr:nvGraphicFramePr>
            <xdr:cNvPr id="157" name="Date (Month)">
              <a:extLst>
                <a:ext uri="{FF2B5EF4-FFF2-40B4-BE49-F238E27FC236}">
                  <a16:creationId xmlns:a16="http://schemas.microsoft.com/office/drawing/2014/main" id="{943B88AB-CB40-4E54-A017-7B20EA75336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922" y="744415"/>
              <a:ext cx="867509" cy="2989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351694</xdr:colOff>
      <xdr:row>7</xdr:row>
      <xdr:rowOff>87924</xdr:rowOff>
    </xdr:from>
    <xdr:to>
      <xdr:col>4</xdr:col>
      <xdr:colOff>521678</xdr:colOff>
      <xdr:row>11</xdr:row>
      <xdr:rowOff>152401</xdr:rowOff>
    </xdr:to>
    <xdr:graphicFrame macro="">
      <xdr:nvGraphicFramePr>
        <xdr:cNvPr id="158" name="Chart 157">
          <a:hlinkClick xmlns:r="http://schemas.openxmlformats.org/officeDocument/2006/relationships" r:id="rId8"/>
          <a:extLst>
            <a:ext uri="{FF2B5EF4-FFF2-40B4-BE49-F238E27FC236}">
              <a16:creationId xmlns:a16="http://schemas.microsoft.com/office/drawing/2014/main" id="{66F37ECB-E95F-4564-A9CA-A13F468AB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281354</xdr:colOff>
      <xdr:row>6</xdr:row>
      <xdr:rowOff>169984</xdr:rowOff>
    </xdr:from>
    <xdr:to>
      <xdr:col>7</xdr:col>
      <xdr:colOff>468923</xdr:colOff>
      <xdr:row>9</xdr:row>
      <xdr:rowOff>135694</xdr:rowOff>
    </xdr:to>
    <xdr:graphicFrame macro="">
      <xdr:nvGraphicFramePr>
        <xdr:cNvPr id="162" name="Chart 161">
          <a:hlinkClick xmlns:r="http://schemas.openxmlformats.org/officeDocument/2006/relationships" r:id="rId10"/>
          <a:extLst>
            <a:ext uri="{FF2B5EF4-FFF2-40B4-BE49-F238E27FC236}">
              <a16:creationId xmlns:a16="http://schemas.microsoft.com/office/drawing/2014/main" id="{FF55BEDD-9B3F-4B18-BF91-E1D2869B5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310661</xdr:colOff>
      <xdr:row>7</xdr:row>
      <xdr:rowOff>58616</xdr:rowOff>
    </xdr:from>
    <xdr:to>
      <xdr:col>10</xdr:col>
      <xdr:colOff>380998</xdr:colOff>
      <xdr:row>9</xdr:row>
      <xdr:rowOff>169986</xdr:rowOff>
    </xdr:to>
    <xdr:graphicFrame macro="">
      <xdr:nvGraphicFramePr>
        <xdr:cNvPr id="165" name="Chart 164">
          <a:hlinkClick xmlns:r="http://schemas.openxmlformats.org/officeDocument/2006/relationships" r:id="rId12"/>
          <a:extLst>
            <a:ext uri="{FF2B5EF4-FFF2-40B4-BE49-F238E27FC236}">
              <a16:creationId xmlns:a16="http://schemas.microsoft.com/office/drawing/2014/main" id="{952A4FDA-4B7E-46FB-861C-883A9B47F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433754</xdr:colOff>
          <xdr:row>9</xdr:row>
          <xdr:rowOff>128955</xdr:rowOff>
        </xdr:from>
        <xdr:to>
          <xdr:col>10</xdr:col>
          <xdr:colOff>304800</xdr:colOff>
          <xdr:row>13</xdr:row>
          <xdr:rowOff>11725</xdr:rowOff>
        </xdr:to>
        <xdr:pic>
          <xdr:nvPicPr>
            <xdr:cNvPr id="174" name="Picture 173">
              <a:extLst>
                <a:ext uri="{FF2B5EF4-FFF2-40B4-BE49-F238E27FC236}">
                  <a16:creationId xmlns:a16="http://schemas.microsoft.com/office/drawing/2014/main" id="{F4C51765-E6AA-FE03-D4F4-549C70637717}"/>
                </a:ext>
              </a:extLst>
            </xdr:cNvPr>
            <xdr:cNvPicPr>
              <a:picLocks noChangeAspect="1" noChangeArrowheads="1"/>
              <a:extLst>
                <a:ext uri="{84589F7E-364E-4C9E-8A38-B11213B215E9}">
                  <a14:cameraTool cellRange="'Pivot Report'!$A$51:$D$53" spid="_x0000_s4166"/>
                </a:ext>
              </a:extLst>
            </xdr:cNvPicPr>
          </xdr:nvPicPr>
          <xdr:blipFill>
            <a:blip xmlns:r="http://schemas.openxmlformats.org/officeDocument/2006/relationships" r:embed="rId14"/>
            <a:srcRect/>
            <a:stretch>
              <a:fillRect/>
            </a:stretch>
          </xdr:blipFill>
          <xdr:spPr bwMode="auto">
            <a:xfrm>
              <a:off x="1043354" y="1764324"/>
              <a:ext cx="5357446" cy="609601"/>
            </a:xfrm>
            <a:prstGeom prst="rect">
              <a:avLst/>
            </a:prstGeom>
            <a:noFill/>
            <a:extLst>
              <a:ext uri="{909E8E84-426E-40DD-AFC4-6F175D3DCCD1}">
                <a14:hiddenFill>
                  <a:solidFill>
                    <a:srgbClr val="FFFFFF"/>
                  </a:solidFill>
                </a14:hiddenFill>
              </a:ext>
            </a:extLst>
          </xdr:spPr>
        </xdr:pic>
        <xdr:clientData fLocksWithSheet="0"/>
      </xdr:twoCellAnchor>
    </mc:Choice>
    <mc:Fallback/>
  </mc:AlternateContent>
  <xdr:twoCellAnchor>
    <xdr:from>
      <xdr:col>1</xdr:col>
      <xdr:colOff>357555</xdr:colOff>
      <xdr:row>13</xdr:row>
      <xdr:rowOff>35169</xdr:rowOff>
    </xdr:from>
    <xdr:to>
      <xdr:col>10</xdr:col>
      <xdr:colOff>287214</xdr:colOff>
      <xdr:row>20</xdr:row>
      <xdr:rowOff>140677</xdr:rowOff>
    </xdr:to>
    <xdr:graphicFrame macro="">
      <xdr:nvGraphicFramePr>
        <xdr:cNvPr id="177" name="Chart 176">
          <a:extLst>
            <a:ext uri="{FF2B5EF4-FFF2-40B4-BE49-F238E27FC236}">
              <a16:creationId xmlns:a16="http://schemas.microsoft.com/office/drawing/2014/main" id="{9646FA9A-E1F5-4DAD-8095-4DC025AE3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twoCellAnchor>
  <xdr:twoCellAnchor>
    <xdr:from>
      <xdr:col>10</xdr:col>
      <xdr:colOff>439615</xdr:colOff>
      <xdr:row>0</xdr:row>
      <xdr:rowOff>82062</xdr:rowOff>
    </xdr:from>
    <xdr:to>
      <xdr:col>14</xdr:col>
      <xdr:colOff>169984</xdr:colOff>
      <xdr:row>10</xdr:row>
      <xdr:rowOff>5861</xdr:rowOff>
    </xdr:to>
    <xdr:graphicFrame macro="">
      <xdr:nvGraphicFramePr>
        <xdr:cNvPr id="179" name="Chart 178">
          <a:extLst>
            <a:ext uri="{FF2B5EF4-FFF2-40B4-BE49-F238E27FC236}">
              <a16:creationId xmlns:a16="http://schemas.microsoft.com/office/drawing/2014/main" id="{88D6B23A-A906-4761-A0A9-6D649FAEA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275492</xdr:colOff>
      <xdr:row>8</xdr:row>
      <xdr:rowOff>93784</xdr:rowOff>
    </xdr:from>
    <xdr:to>
      <xdr:col>13</xdr:col>
      <xdr:colOff>486507</xdr:colOff>
      <xdr:row>9</xdr:row>
      <xdr:rowOff>140677</xdr:rowOff>
    </xdr:to>
    <xdr:sp macro="" textlink="">
      <xdr:nvSpPr>
        <xdr:cNvPr id="181" name="TextBox 180">
          <a:extLst>
            <a:ext uri="{FF2B5EF4-FFF2-40B4-BE49-F238E27FC236}">
              <a16:creationId xmlns:a16="http://schemas.microsoft.com/office/drawing/2014/main" id="{8BA28B14-7986-0091-4F0E-2E1234536D76}"/>
            </a:ext>
          </a:extLst>
        </xdr:cNvPr>
        <xdr:cNvSpPr txBox="1"/>
      </xdr:nvSpPr>
      <xdr:spPr>
        <a:xfrm>
          <a:off x="6981092" y="1547446"/>
          <a:ext cx="1430215" cy="22860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Patient</a:t>
          </a:r>
          <a:r>
            <a:rPr lang="en-IN" sz="900" b="1" baseline="0"/>
            <a:t> Attended </a:t>
          </a:r>
          <a:r>
            <a:rPr lang="en-IN" sz="1000" b="1" baseline="0"/>
            <a:t>Status</a:t>
          </a:r>
          <a:endParaRPr lang="en-IN" sz="1000" b="1"/>
        </a:p>
      </xdr:txBody>
    </xdr:sp>
    <xdr:clientData/>
  </xdr:twoCellAnchor>
  <xdr:twoCellAnchor>
    <xdr:from>
      <xdr:col>14</xdr:col>
      <xdr:colOff>106517</xdr:colOff>
      <xdr:row>0</xdr:row>
      <xdr:rowOff>82062</xdr:rowOff>
    </xdr:from>
    <xdr:to>
      <xdr:col>17</xdr:col>
      <xdr:colOff>98323</xdr:colOff>
      <xdr:row>10</xdr:row>
      <xdr:rowOff>17585</xdr:rowOff>
    </xdr:to>
    <xdr:graphicFrame macro="">
      <xdr:nvGraphicFramePr>
        <xdr:cNvPr id="184" name="Chart 183">
          <a:extLst>
            <a:ext uri="{FF2B5EF4-FFF2-40B4-BE49-F238E27FC236}">
              <a16:creationId xmlns:a16="http://schemas.microsoft.com/office/drawing/2014/main" id="{ABDB5AA2-C2FD-4513-856A-081840302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twoCellAnchor>
  <xdr:twoCellAnchor>
    <xdr:from>
      <xdr:col>14</xdr:col>
      <xdr:colOff>545123</xdr:colOff>
      <xdr:row>8</xdr:row>
      <xdr:rowOff>64475</xdr:rowOff>
    </xdr:from>
    <xdr:to>
      <xdr:col>17</xdr:col>
      <xdr:colOff>164122</xdr:colOff>
      <xdr:row>9</xdr:row>
      <xdr:rowOff>105507</xdr:rowOff>
    </xdr:to>
    <xdr:sp macro="" textlink="">
      <xdr:nvSpPr>
        <xdr:cNvPr id="185" name="TextBox 184">
          <a:extLst>
            <a:ext uri="{FF2B5EF4-FFF2-40B4-BE49-F238E27FC236}">
              <a16:creationId xmlns:a16="http://schemas.microsoft.com/office/drawing/2014/main" id="{B130FD12-D386-FE9B-E525-B76FC6ED8E3A}"/>
            </a:ext>
          </a:extLst>
        </xdr:cNvPr>
        <xdr:cNvSpPr txBox="1"/>
      </xdr:nvSpPr>
      <xdr:spPr>
        <a:xfrm>
          <a:off x="9079523" y="1518137"/>
          <a:ext cx="1447799" cy="222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t>Gender wise Analysis</a:t>
          </a:r>
        </a:p>
      </xdr:txBody>
    </xdr:sp>
    <xdr:clientData/>
  </xdr:twoCellAnchor>
  <xdr:twoCellAnchor>
    <xdr:from>
      <xdr:col>10</xdr:col>
      <xdr:colOff>422030</xdr:colOff>
      <xdr:row>10</xdr:row>
      <xdr:rowOff>93786</xdr:rowOff>
    </xdr:from>
    <xdr:to>
      <xdr:col>17</xdr:col>
      <xdr:colOff>120571</xdr:colOff>
      <xdr:row>20</xdr:row>
      <xdr:rowOff>93785</xdr:rowOff>
    </xdr:to>
    <xdr:graphicFrame macro="">
      <xdr:nvGraphicFramePr>
        <xdr:cNvPr id="187" name="Chart 186">
          <a:extLst>
            <a:ext uri="{FF2B5EF4-FFF2-40B4-BE49-F238E27FC236}">
              <a16:creationId xmlns:a16="http://schemas.microsoft.com/office/drawing/2014/main" id="{3DA5F049-7123-446B-B34A-0B0405A75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7</xdr:col>
      <xdr:colOff>568567</xdr:colOff>
      <xdr:row>0</xdr:row>
      <xdr:rowOff>93785</xdr:rowOff>
    </xdr:from>
    <xdr:to>
      <xdr:col>10</xdr:col>
      <xdr:colOff>275490</xdr:colOff>
      <xdr:row>3</xdr:row>
      <xdr:rowOff>58615</xdr:rowOff>
    </xdr:to>
    <mc:AlternateContent xmlns:mc="http://schemas.openxmlformats.org/markup-compatibility/2006" xmlns:a14="http://schemas.microsoft.com/office/drawing/2010/main">
      <mc:Choice Requires="a14">
        <xdr:graphicFrame macro="">
          <xdr:nvGraphicFramePr>
            <xdr:cNvPr id="189" name="Date (Year)">
              <a:extLst>
                <a:ext uri="{FF2B5EF4-FFF2-40B4-BE49-F238E27FC236}">
                  <a16:creationId xmlns:a16="http://schemas.microsoft.com/office/drawing/2014/main" id="{3F7D0E23-A245-4A38-86A0-85EB606C1342}"/>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35767" y="93785"/>
              <a:ext cx="1535723" cy="509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c:userShapes xmlns:c="http://schemas.openxmlformats.org/drawingml/2006/chart">
  <cdr:relSizeAnchor xmlns:cdr="http://schemas.openxmlformats.org/drawingml/2006/chartDrawing">
    <cdr:from>
      <cdr:x>0.28901</cdr:x>
      <cdr:y>0.82511</cdr:y>
    </cdr:from>
    <cdr:to>
      <cdr:x>0.68022</cdr:x>
      <cdr:y>0.95067</cdr:y>
    </cdr:to>
    <cdr:sp macro="" textlink="">
      <cdr:nvSpPr>
        <cdr:cNvPr id="2" name="TextBox 1">
          <a:extLst xmlns:a="http://schemas.openxmlformats.org/drawingml/2006/main">
            <a:ext uri="{FF2B5EF4-FFF2-40B4-BE49-F238E27FC236}">
              <a16:creationId xmlns:a16="http://schemas.microsoft.com/office/drawing/2014/main" id="{E740F0E6-BB9D-3802-1733-56663CAD8487}"/>
            </a:ext>
          </a:extLst>
        </cdr:cNvPr>
        <cdr:cNvSpPr txBox="1"/>
      </cdr:nvSpPr>
      <cdr:spPr>
        <a:xfrm xmlns:a="http://schemas.openxmlformats.org/drawingml/2006/main">
          <a:off x="1541583" y="1078522"/>
          <a:ext cx="2086708" cy="16412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0.32088</cdr:x>
      <cdr:y>0.78475</cdr:y>
    </cdr:from>
    <cdr:to>
      <cdr:x>0.7044</cdr:x>
      <cdr:y>0.96861</cdr:y>
    </cdr:to>
    <cdr:sp macro="" textlink="">
      <cdr:nvSpPr>
        <cdr:cNvPr id="3" name="TextBox 2">
          <a:extLst xmlns:a="http://schemas.openxmlformats.org/drawingml/2006/main">
            <a:ext uri="{FF2B5EF4-FFF2-40B4-BE49-F238E27FC236}">
              <a16:creationId xmlns:a16="http://schemas.microsoft.com/office/drawing/2014/main" id="{A61757E1-8E59-6EE0-1126-8876D7CA5C1F}"/>
            </a:ext>
          </a:extLst>
        </cdr:cNvPr>
        <cdr:cNvSpPr txBox="1"/>
      </cdr:nvSpPr>
      <cdr:spPr>
        <a:xfrm xmlns:a="http://schemas.openxmlformats.org/drawingml/2006/main">
          <a:off x="1711566" y="1025769"/>
          <a:ext cx="2045677" cy="24032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50" b="1"/>
            <a:t>No.</a:t>
          </a:r>
          <a:r>
            <a:rPr lang="en-IN" sz="1050" b="1" baseline="0"/>
            <a:t> of Patient by Age Group</a:t>
          </a:r>
          <a:endParaRPr lang="en-IN" sz="1050" b="1"/>
        </a:p>
      </cdr:txBody>
    </cdr:sp>
  </cdr:relSizeAnchor>
</c:userShapes>
</file>

<file path=xl/drawings/drawing4.xml><?xml version="1.0" encoding="utf-8"?>
<c:userShapes xmlns:c="http://schemas.openxmlformats.org/drawingml/2006/chart">
  <cdr:relSizeAnchor xmlns:cdr="http://schemas.openxmlformats.org/drawingml/2006/chartDrawing">
    <cdr:from>
      <cdr:x>0.28526</cdr:x>
      <cdr:y>0.87742</cdr:y>
    </cdr:from>
    <cdr:to>
      <cdr:x>0.88683</cdr:x>
      <cdr:y>1</cdr:y>
    </cdr:to>
    <cdr:sp macro="" textlink="">
      <cdr:nvSpPr>
        <cdr:cNvPr id="2" name="TextBox 1">
          <a:extLst xmlns:a="http://schemas.openxmlformats.org/drawingml/2006/main">
            <a:ext uri="{FF2B5EF4-FFF2-40B4-BE49-F238E27FC236}">
              <a16:creationId xmlns:a16="http://schemas.microsoft.com/office/drawing/2014/main" id="{6FA3AB0F-CDB3-E278-6148-BE1DB1D1CEB6}"/>
            </a:ext>
          </a:extLst>
        </cdr:cNvPr>
        <cdr:cNvSpPr txBox="1"/>
      </cdr:nvSpPr>
      <cdr:spPr>
        <a:xfrm xmlns:a="http://schemas.openxmlformats.org/drawingml/2006/main">
          <a:off x="1131278" y="1594337"/>
          <a:ext cx="2385644" cy="222738"/>
        </a:xfrm>
        <a:prstGeom xmlns:a="http://schemas.openxmlformats.org/drawingml/2006/main" prst="rect">
          <a:avLst/>
        </a:prstGeom>
        <a:pattFill xmlns:a="http://schemas.openxmlformats.org/drawingml/2006/main" prst="pct5">
          <a:fgClr>
            <a:schemeClr val="bg2"/>
          </a:fgClr>
          <a:bgClr>
            <a:schemeClr val="bg1"/>
          </a:bgClr>
        </a:pattFill>
      </cdr:spPr>
      <cdr:txBody>
        <a:bodyPr xmlns:a="http://schemas.openxmlformats.org/drawingml/2006/main" vertOverflow="clip" wrap="square" rtlCol="0"/>
        <a:lstStyle xmlns:a="http://schemas.openxmlformats.org/drawingml/2006/main"/>
        <a:p xmlns:a="http://schemas.openxmlformats.org/drawingml/2006/main">
          <a:r>
            <a:rPr lang="en-IN" sz="1100" b="1">
              <a:solidFill>
                <a:schemeClr val="tx1"/>
              </a:solidFill>
            </a:rPr>
            <a:t>No. of Patient by Department Referal</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494043</xdr:colOff>
      <xdr:row>27</xdr:row>
      <xdr:rowOff>125604</xdr:rowOff>
    </xdr:to>
    <xdr:graphicFrame macro="">
      <xdr:nvGraphicFramePr>
        <xdr:cNvPr id="11" name="Chart 10">
          <a:extLst>
            <a:ext uri="{FF2B5EF4-FFF2-40B4-BE49-F238E27FC236}">
              <a16:creationId xmlns:a16="http://schemas.microsoft.com/office/drawing/2014/main" id="{4F30CD43-1367-472F-A640-1D7760EA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0</xdr:row>
      <xdr:rowOff>99060</xdr:rowOff>
    </xdr:from>
    <xdr:to>
      <xdr:col>1</xdr:col>
      <xdr:colOff>259080</xdr:colOff>
      <xdr:row>4</xdr:row>
      <xdr:rowOff>7620</xdr:rowOff>
    </xdr:to>
    <xdr:pic>
      <xdr:nvPicPr>
        <xdr:cNvPr id="13" name="Graphic 12" descr="Home with solid fill">
          <a:hlinkClick xmlns:r="http://schemas.openxmlformats.org/officeDocument/2006/relationships" r:id="rId2"/>
          <a:extLst>
            <a:ext uri="{FF2B5EF4-FFF2-40B4-BE49-F238E27FC236}">
              <a16:creationId xmlns:a16="http://schemas.microsoft.com/office/drawing/2014/main" id="{17EDEA52-B9A2-AB69-A806-0851F989DD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540" y="99060"/>
          <a:ext cx="739140" cy="6400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129540</xdr:colOff>
      <xdr:row>25</xdr:row>
      <xdr:rowOff>137160</xdr:rowOff>
    </xdr:to>
    <xdr:graphicFrame macro="">
      <xdr:nvGraphicFramePr>
        <xdr:cNvPr id="3" name="Chart 2">
          <a:extLst>
            <a:ext uri="{FF2B5EF4-FFF2-40B4-BE49-F238E27FC236}">
              <a16:creationId xmlns:a16="http://schemas.microsoft.com/office/drawing/2014/main" id="{0CAB401D-F937-4FE3-AEE4-643C6DCE8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0.01307</cdr:x>
      <cdr:y>0.05016</cdr:y>
    </cdr:from>
    <cdr:to>
      <cdr:x>0.06463</cdr:x>
      <cdr:y>0.14509</cdr:y>
    </cdr:to>
    <cdr:pic>
      <cdr:nvPicPr>
        <cdr:cNvPr id="3" name="Graphic 1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17EDEA52-B9A2-AB69-A806-0851F989DD6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37160" y="236220"/>
          <a:ext cx="541020" cy="44704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0</xdr:col>
      <xdr:colOff>114300</xdr:colOff>
      <xdr:row>0</xdr:row>
      <xdr:rowOff>175260</xdr:rowOff>
    </xdr:from>
    <xdr:to>
      <xdr:col>20</xdr:col>
      <xdr:colOff>106680</xdr:colOff>
      <xdr:row>26</xdr:row>
      <xdr:rowOff>15240</xdr:rowOff>
    </xdr:to>
    <xdr:graphicFrame macro="">
      <xdr:nvGraphicFramePr>
        <xdr:cNvPr id="3" name="Chart 2">
          <a:extLst>
            <a:ext uri="{FF2B5EF4-FFF2-40B4-BE49-F238E27FC236}">
              <a16:creationId xmlns:a16="http://schemas.microsoft.com/office/drawing/2014/main" id="{D9250908-9B8A-44FE-A844-8E8D6193C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0.01787</cdr:x>
      <cdr:y>0.03759</cdr:y>
    </cdr:from>
    <cdr:to>
      <cdr:x>0.08077</cdr:x>
      <cdr:y>0.15755</cdr:y>
    </cdr:to>
    <cdr:pic>
      <cdr:nvPicPr>
        <cdr:cNvPr id="3" name="Graphic 1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736F95A-5F00-05E6-A138-05C99965F5F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0500" y="172720"/>
          <a:ext cx="670560" cy="55118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3148147" createdVersion="5" refreshedVersion="8" minRefreshableVersion="3" recordCount="0" supportSubquery="1" supportAdvancedDrill="1" xr:uid="{894965F8-9729-4C71-B558-873C6E57E7E9}">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65">
        <s v="1-Sep"/>
        <s v="2-Sep"/>
        <s v="3-Sep"/>
        <s v="4-Sep"/>
        <s v="5-Sep"/>
        <s v="6-Sep"/>
        <s v="7-Sep"/>
        <s v="8-Sep"/>
        <s v="9-Sep"/>
        <s v="10-Sep"/>
        <s v="11-Sep"/>
        <s v="12-Sep"/>
        <s v="13-Sep"/>
        <s v="14-Sep"/>
        <s v="15-Sep"/>
        <s v="16-Sep"/>
        <s v="17-Sep"/>
        <s v="18-Sep"/>
        <s v="19-Sep"/>
        <s v="20-Sep"/>
        <s v="21-Sep"/>
        <s v="22-Sep"/>
        <s v="23-Sep"/>
        <s v="24-Sep"/>
        <s v="25-Sep"/>
        <s v="26-Sep"/>
        <s v="27-Sep"/>
        <s v="28-Sep"/>
        <s v="29-Sep"/>
        <s v="30-Sep"/>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an" u="1"/>
        <s v="2-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3842593" createdVersion="5" refreshedVersion="8" minRefreshableVersion="3" recordCount="0" supportSubquery="1" supportAdvancedDrill="1" xr:uid="{615C1DD1-E7AB-4923-9414-2E4B51E7488E}">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453704" createdVersion="5" refreshedVersion="8" minRefreshableVersion="3" recordCount="0" supportSubquery="1" supportAdvancedDrill="1" xr:uid="{778DBB6E-7543-45AA-9974-0B2FBB19F96C}">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511574" createdVersion="5" refreshedVersion="8" minRefreshableVersion="3" recordCount="0" supportSubquery="1" supportAdvancedDrill="1" xr:uid="{87E4DA32-952A-4856-BA81-735A2B8EB356}">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5925925" createdVersion="5" refreshedVersion="8" minRefreshableVersion="3" recordCount="0" supportSubquery="1" supportAdvancedDrill="1" xr:uid="{C1CACA53-F244-4EB5-AA68-895575759EE3}">
  <cacheSource type="external" connectionId="3"/>
  <cacheFields count="4">
    <cacheField name="[Calender_Table].[Date (Day)].[Date (Day)]" caption="Date (Day)" numFmtId="0" hierarchy="2" level="1">
      <sharedItems count="60">
        <s v="1-Sep"/>
        <s v="2-Sep"/>
        <s v="3-Sep"/>
        <s v="4-Sep"/>
        <s v="5-Sep"/>
        <s v="6-Sep"/>
        <s v="7-Sep"/>
        <s v="8-Sep"/>
        <s v="9-Sep"/>
        <s v="10-Sep"/>
        <s v="11-Sep"/>
        <s v="12-Sep"/>
        <s v="13-Sep"/>
        <s v="14-Sep"/>
        <s v="15-Sep"/>
        <s v="16-Sep"/>
        <s v="17-Sep"/>
        <s v="18-Sep"/>
        <s v="19-Sep"/>
        <s v="20-Sep"/>
        <s v="21-Sep"/>
        <s v="22-Sep"/>
        <s v="23-Sep"/>
        <s v="24-Sep"/>
        <s v="25-Sep"/>
        <s v="26-Sep"/>
        <s v="27-Sep"/>
        <s v="28-Sep"/>
        <s v="29-Sep"/>
        <s v="30-Sep"/>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6851849" createdVersion="5" refreshedVersion="8" minRefreshableVersion="3" recordCount="0" supportSubquery="1" supportAdvancedDrill="1" xr:uid="{142AB5DA-850B-45EE-AC3D-9E3201F55522}">
  <cacheSource type="external" connectionId="3"/>
  <cacheFields count="4">
    <cacheField name="[Calender_Table].[Date (Day)].[Date (Day)]" caption="Date (Day)" numFmtId="0" hierarchy="2" level="1">
      <sharedItems count="363">
        <s v="1-Sep"/>
        <s v="2-Sep"/>
        <s v="3-Sep"/>
        <s v="4-Sep"/>
        <s v="5-Sep"/>
        <s v="6-Sep"/>
        <s v="7-Sep"/>
        <s v="8-Sep"/>
        <s v="9-Sep"/>
        <s v="10-Sep"/>
        <s v="11-Sep"/>
        <s v="12-Sep"/>
        <s v="13-Sep"/>
        <s v="14-Sep"/>
        <s v="15-Sep"/>
        <s v="16-Sep"/>
        <s v="17-Sep"/>
        <s v="18-Sep"/>
        <s v="19-Sep"/>
        <s v="20-Sep"/>
        <s v="21-Sep"/>
        <s v="23-Sep"/>
        <s v="24-Sep"/>
        <s v="25-Sep"/>
        <s v="26-Sep"/>
        <s v="27-Sep"/>
        <s v="28-Sep"/>
        <s v="29-Sep"/>
        <s v="30-Sep"/>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Jan" u="1"/>
        <s v="2-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s v="22-Sep" u="1"/>
        <s v="1-Dec" u="1"/>
        <s v="2-Dec" u="1"/>
        <s v="3-Dec" u="1"/>
        <s v="4-Dec" u="1"/>
        <s v="5-Dec" u="1"/>
        <s v="6-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7-Feb" u="1"/>
        <s v="28-Feb" u="1"/>
        <s v="29-Feb"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26-Feb" u="1"/>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777778" createdVersion="5" refreshedVersion="8" minRefreshableVersion="3" recordCount="0" supportSubquery="1" supportAdvancedDrill="1" xr:uid="{AAB8B1D6-8B50-41ED-9A6E-48927CA1D4E1}">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8125004" createdVersion="5" refreshedVersion="8" minRefreshableVersion="3" recordCount="0" supportSubquery="1" supportAdvancedDrill="1" xr:uid="{66D98825-549F-43C3-BA9D-0F227AB06762}">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09"/>
        <s v="10-1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8472219" createdVersion="5" refreshedVersion="8" minRefreshableVersion="3" recordCount="0" supportSubquery="1" supportAdvancedDrill="1" xr:uid="{DB3EF98D-2B6A-4CA0-AA04-FE28C894B314}">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31"/>
        <n v="32"/>
        <n v="33"/>
        <n v="34"/>
        <n v="35"/>
        <n v="36"/>
        <n v="37"/>
        <n v="38"/>
        <n v="39"/>
        <n v="40"/>
        <n v="41"/>
        <n v="42"/>
        <n v="43"/>
        <n v="44"/>
        <n v="45"/>
        <n v="46"/>
        <n v="47"/>
        <n v="48"/>
        <n v="49"/>
        <n v="50"/>
        <n v="51"/>
        <n v="52"/>
        <n v="53"/>
        <n v="54"/>
        <n v="55"/>
        <n v="56"/>
        <n v="57"/>
        <n v="58"/>
        <n v="59"/>
        <n v="60"/>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Hospital Emergency Room Data].[Patient Waittime].&amp;[31]"/>
            <x15:cachedUniqueName index="1" name="[Hospital Emergency Room Data].[Patient Waittime].&amp;[32]"/>
            <x15:cachedUniqueName index="2" name="[Hospital Emergency Room Data].[Patient Waittime].&amp;[33]"/>
            <x15:cachedUniqueName index="3" name="[Hospital Emergency Room Data].[Patient Waittime].&amp;[34]"/>
            <x15:cachedUniqueName index="4" name="[Hospital Emergency Room Data].[Patient Waittime].&amp;[35]"/>
            <x15:cachedUniqueName index="5" name="[Hospital Emergency Room Data].[Patient Waittime].&amp;[36]"/>
            <x15:cachedUniqueName index="6" name="[Hospital Emergency Room Data].[Patient Waittime].&amp;[37]"/>
            <x15:cachedUniqueName index="7" name="[Hospital Emergency Room Data].[Patient Waittime].&amp;[38]"/>
            <x15:cachedUniqueName index="8" name="[Hospital Emergency Room Data].[Patient Waittime].&amp;[39]"/>
            <x15:cachedUniqueName index="9" name="[Hospital Emergency Room Data].[Patient Waittime].&amp;[40]"/>
            <x15:cachedUniqueName index="10" name="[Hospital Emergency Room Data].[Patient Waittime].&amp;[41]"/>
            <x15:cachedUniqueName index="11" name="[Hospital Emergency Room Data].[Patient Waittime].&amp;[42]"/>
            <x15:cachedUniqueName index="12" name="[Hospital Emergency Room Data].[Patient Waittime].&amp;[43]"/>
            <x15:cachedUniqueName index="13" name="[Hospital Emergency Room Data].[Patient Waittime].&amp;[44]"/>
            <x15:cachedUniqueName index="14" name="[Hospital Emergency Room Data].[Patient Waittime].&amp;[45]"/>
            <x15:cachedUniqueName index="15" name="[Hospital Emergency Room Data].[Patient Waittime].&amp;[46]"/>
            <x15:cachedUniqueName index="16" name="[Hospital Emergency Room Data].[Patient Waittime].&amp;[47]"/>
            <x15:cachedUniqueName index="17" name="[Hospital Emergency Room Data].[Patient Waittime].&amp;[48]"/>
            <x15:cachedUniqueName index="18" name="[Hospital Emergency Room Data].[Patient Waittime].&amp;[49]"/>
            <x15:cachedUniqueName index="19" name="[Hospital Emergency Room Data].[Patient Waittime].&amp;[50]"/>
            <x15:cachedUniqueName index="20" name="[Hospital Emergency Room Data].[Patient Waittime].&amp;[51]"/>
            <x15:cachedUniqueName index="21" name="[Hospital Emergency Room Data].[Patient Waittime].&amp;[52]"/>
            <x15:cachedUniqueName index="22" name="[Hospital Emergency Room Data].[Patient Waittime].&amp;[53]"/>
            <x15:cachedUniqueName index="23" name="[Hospital Emergency Room Data].[Patient Waittime].&amp;[54]"/>
            <x15:cachedUniqueName index="24" name="[Hospital Emergency Room Data].[Patient Waittime].&amp;[55]"/>
            <x15:cachedUniqueName index="25" name="[Hospital Emergency Room Data].[Patient Waittime].&amp;[56]"/>
            <x15:cachedUniqueName index="26" name="[Hospital Emergency Room Data].[Patient Waittime].&amp;[57]"/>
            <x15:cachedUniqueName index="27" name="[Hospital Emergency Room Data].[Patient Waittime].&amp;[58]"/>
            <x15:cachedUniqueName index="28" name="[Hospital Emergency Room Data].[Patient Waittime].&amp;[59]"/>
            <x15:cachedUniqueName index="29" name="[Hospital Emergency Room Data].[Patient Waittime].&amp;[60]"/>
            <x15:cachedUniqueName index="30" name="[Hospital Emergency Room Data].[Patient Waittime].&amp;[10]"/>
            <x15:cachedUniqueName index="31" name="[Hospital Emergency Room Data].[Patient Waittime].&amp;[11]"/>
            <x15:cachedUniqueName index="32" name="[Hospital Emergency Room Data].[Patient Waittime].&amp;[12]"/>
            <x15:cachedUniqueName index="33" name="[Hospital Emergency Room Data].[Patient Waittime].&amp;[13]"/>
            <x15:cachedUniqueName index="34" name="[Hospital Emergency Room Data].[Patient Waittime].&amp;[14]"/>
            <x15:cachedUniqueName index="35" name="[Hospital Emergency Room Data].[Patient Waittime].&amp;[15]"/>
            <x15:cachedUniqueName index="36" name="[Hospital Emergency Room Data].[Patient Waittime].&amp;[16]"/>
            <x15:cachedUniqueName index="37" name="[Hospital Emergency Room Data].[Patient Waittime].&amp;[17]"/>
            <x15:cachedUniqueName index="38" name="[Hospital Emergency Room Data].[Patient Waittime].&amp;[18]"/>
            <x15:cachedUniqueName index="39" name="[Hospital Emergency Room Data].[Patient Waittime].&amp;[19]"/>
            <x15:cachedUniqueName index="40" name="[Hospital Emergency Room Data].[Patient Waittime].&amp;[20]"/>
            <x15:cachedUniqueName index="41" name="[Hospital Emergency Room Data].[Patient Waittime].&amp;[21]"/>
            <x15:cachedUniqueName index="42" name="[Hospital Emergency Room Data].[Patient Waittime].&amp;[22]"/>
            <x15:cachedUniqueName index="43" name="[Hospital Emergency Room Data].[Patient Waittime].&amp;[23]"/>
            <x15:cachedUniqueName index="44" name="[Hospital Emergency Room Data].[Patient Waittime].&amp;[24]"/>
            <x15:cachedUniqueName index="45" name="[Hospital Emergency Room Data].[Patient Waittime].&amp;[25]"/>
            <x15:cachedUniqueName index="46" name="[Hospital Emergency Room Data].[Patient Waittime].&amp;[26]"/>
            <x15:cachedUniqueName index="47" name="[Hospital Emergency Room Data].[Patient Waittime].&amp;[27]"/>
            <x15:cachedUniqueName index="48" name="[Hospital Emergency Room Data].[Patient Waittime].&amp;[28]"/>
            <x15:cachedUniqueName index="49" name="[Hospital Emergency Room Data].[Patient Waittime].&amp;[29]"/>
            <x15:cachedUniqueName index="50" name="[Hospital Emergency Room Data].[Patient Waittime].&amp;[30]"/>
          </x15:cachedUniqueNames>
        </ext>
      </extLst>
    </cacheField>
    <cacheField name="[Hospital Emergency Room Data].[Calculated Column 1].[Calculated Column 1]" caption="Calculated Column 1" numFmtId="0" hierarchy="17" level="1">
      <sharedItems count="2">
        <s v="Delay"/>
        <s v="On Time"/>
      </sharedItems>
    </cacheField>
    <cacheField name="[Measures].[Count of Calculated Column 1]" caption="Count of Calculated Column 1"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4"/>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8819443" createdVersion="5" refreshedVersion="8" minRefreshableVersion="3" recordCount="0" supportSubquery="1" supportAdvancedDrill="1" xr:uid="{D9A61164-3FBC-474D-9480-8AB8AADF7E16}">
  <cacheSource type="external" connectionId="3"/>
  <cacheFields count="6">
    <cacheField name="[Calende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31"/>
        <n v="32"/>
        <n v="33"/>
        <n v="34"/>
        <n v="35"/>
        <n v="36"/>
        <n v="37"/>
        <n v="38"/>
        <n v="39"/>
        <n v="40"/>
        <n v="41"/>
        <n v="42"/>
        <n v="43"/>
        <n v="44"/>
        <n v="45"/>
        <n v="46"/>
        <n v="47"/>
        <n v="48"/>
        <n v="49"/>
        <n v="50"/>
        <n v="51"/>
        <n v="52"/>
        <n v="53"/>
        <n v="54"/>
        <n v="55"/>
        <n v="56"/>
        <n v="57"/>
        <n v="58"/>
        <n v="59"/>
        <n v="60"/>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Hospital Emergency Room Data].[Patient Waittime].&amp;[31]"/>
            <x15:cachedUniqueName index="1" name="[Hospital Emergency Room Data].[Patient Waittime].&amp;[32]"/>
            <x15:cachedUniqueName index="2" name="[Hospital Emergency Room Data].[Patient Waittime].&amp;[33]"/>
            <x15:cachedUniqueName index="3" name="[Hospital Emergency Room Data].[Patient Waittime].&amp;[34]"/>
            <x15:cachedUniqueName index="4" name="[Hospital Emergency Room Data].[Patient Waittime].&amp;[35]"/>
            <x15:cachedUniqueName index="5" name="[Hospital Emergency Room Data].[Patient Waittime].&amp;[36]"/>
            <x15:cachedUniqueName index="6" name="[Hospital Emergency Room Data].[Patient Waittime].&amp;[37]"/>
            <x15:cachedUniqueName index="7" name="[Hospital Emergency Room Data].[Patient Waittime].&amp;[38]"/>
            <x15:cachedUniqueName index="8" name="[Hospital Emergency Room Data].[Patient Waittime].&amp;[39]"/>
            <x15:cachedUniqueName index="9" name="[Hospital Emergency Room Data].[Patient Waittime].&amp;[40]"/>
            <x15:cachedUniqueName index="10" name="[Hospital Emergency Room Data].[Patient Waittime].&amp;[41]"/>
            <x15:cachedUniqueName index="11" name="[Hospital Emergency Room Data].[Patient Waittime].&amp;[42]"/>
            <x15:cachedUniqueName index="12" name="[Hospital Emergency Room Data].[Patient Waittime].&amp;[43]"/>
            <x15:cachedUniqueName index="13" name="[Hospital Emergency Room Data].[Patient Waittime].&amp;[44]"/>
            <x15:cachedUniqueName index="14" name="[Hospital Emergency Room Data].[Patient Waittime].&amp;[45]"/>
            <x15:cachedUniqueName index="15" name="[Hospital Emergency Room Data].[Patient Waittime].&amp;[46]"/>
            <x15:cachedUniqueName index="16" name="[Hospital Emergency Room Data].[Patient Waittime].&amp;[47]"/>
            <x15:cachedUniqueName index="17" name="[Hospital Emergency Room Data].[Patient Waittime].&amp;[48]"/>
            <x15:cachedUniqueName index="18" name="[Hospital Emergency Room Data].[Patient Waittime].&amp;[49]"/>
            <x15:cachedUniqueName index="19" name="[Hospital Emergency Room Data].[Patient Waittime].&amp;[50]"/>
            <x15:cachedUniqueName index="20" name="[Hospital Emergency Room Data].[Patient Waittime].&amp;[51]"/>
            <x15:cachedUniqueName index="21" name="[Hospital Emergency Room Data].[Patient Waittime].&amp;[52]"/>
            <x15:cachedUniqueName index="22" name="[Hospital Emergency Room Data].[Patient Waittime].&amp;[53]"/>
            <x15:cachedUniqueName index="23" name="[Hospital Emergency Room Data].[Patient Waittime].&amp;[54]"/>
            <x15:cachedUniqueName index="24" name="[Hospital Emergency Room Data].[Patient Waittime].&amp;[55]"/>
            <x15:cachedUniqueName index="25" name="[Hospital Emergency Room Data].[Patient Waittime].&amp;[56]"/>
            <x15:cachedUniqueName index="26" name="[Hospital Emergency Room Data].[Patient Waittime].&amp;[57]"/>
            <x15:cachedUniqueName index="27" name="[Hospital Emergency Room Data].[Patient Waittime].&amp;[58]"/>
            <x15:cachedUniqueName index="28" name="[Hospital Emergency Room Data].[Patient Waittime].&amp;[59]"/>
            <x15:cachedUniqueName index="29" name="[Hospital Emergency Room Data].[Patient Waittime].&amp;[60]"/>
            <x15:cachedUniqueName index="30" name="[Hospital Emergency Room Data].[Patient Waittime].&amp;[10]"/>
            <x15:cachedUniqueName index="31" name="[Hospital Emergency Room Data].[Patient Waittime].&amp;[11]"/>
            <x15:cachedUniqueName index="32" name="[Hospital Emergency Room Data].[Patient Waittime].&amp;[12]"/>
            <x15:cachedUniqueName index="33" name="[Hospital Emergency Room Data].[Patient Waittime].&amp;[13]"/>
            <x15:cachedUniqueName index="34" name="[Hospital Emergency Room Data].[Patient Waittime].&amp;[14]"/>
            <x15:cachedUniqueName index="35" name="[Hospital Emergency Room Data].[Patient Waittime].&amp;[15]"/>
            <x15:cachedUniqueName index="36" name="[Hospital Emergency Room Data].[Patient Waittime].&amp;[16]"/>
            <x15:cachedUniqueName index="37" name="[Hospital Emergency Room Data].[Patient Waittime].&amp;[17]"/>
            <x15:cachedUniqueName index="38" name="[Hospital Emergency Room Data].[Patient Waittime].&amp;[18]"/>
            <x15:cachedUniqueName index="39" name="[Hospital Emergency Room Data].[Patient Waittime].&amp;[19]"/>
            <x15:cachedUniqueName index="40" name="[Hospital Emergency Room Data].[Patient Waittime].&amp;[20]"/>
            <x15:cachedUniqueName index="41" name="[Hospital Emergency Room Data].[Patient Waittime].&amp;[21]"/>
            <x15:cachedUniqueName index="42" name="[Hospital Emergency Room Data].[Patient Waittime].&amp;[22]"/>
            <x15:cachedUniqueName index="43" name="[Hospital Emergency Room Data].[Patient Waittime].&amp;[23]"/>
            <x15:cachedUniqueName index="44" name="[Hospital Emergency Room Data].[Patient Waittime].&amp;[24]"/>
            <x15:cachedUniqueName index="45" name="[Hospital Emergency Room Data].[Patient Waittime].&amp;[25]"/>
            <x15:cachedUniqueName index="46" name="[Hospital Emergency Room Data].[Patient Waittime].&amp;[26]"/>
            <x15:cachedUniqueName index="47" name="[Hospital Emergency Room Data].[Patient Waittime].&amp;[27]"/>
            <x15:cachedUniqueName index="48" name="[Hospital Emergency Room Data].[Patient Waittime].&amp;[28]"/>
            <x15:cachedUniqueName index="49" name="[Hospital Emergency Room Data].[Patient Waittime].&amp;[29]"/>
            <x15:cachedUniqueName index="50" name="[Hospital Emergency Room Data].[Patient Waittime].&amp;[30]"/>
          </x15:cachedUniqueNames>
        </ext>
      </extLst>
    </cacheField>
    <cacheField name="[Hospital Emergency Room Data].[Calculated Column 1].[Calculated Column 1]" caption="Calculated Column 1" numFmtId="0" hierarchy="17" level="1">
      <sharedItems count="2">
        <s v="Delay"/>
        <s v="On Time"/>
      </sharedItems>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5"/>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3"/>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4"/>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9166666" createdVersion="5" refreshedVersion="8" minRefreshableVersion="3" recordCount="0" supportSubquery="1" supportAdvancedDrill="1" xr:uid="{1A68BC2B-5D17-43C3-8EDC-3BF02305A4A5}">
  <cacheSource type="external" connectionId="3"/>
  <cacheFields count="6">
    <cacheField name="[Calende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31"/>
        <n v="32"/>
        <n v="33"/>
        <n v="34"/>
        <n v="35"/>
        <n v="36"/>
        <n v="37"/>
        <n v="38"/>
        <n v="39"/>
        <n v="40"/>
        <n v="41"/>
        <n v="42"/>
        <n v="43"/>
        <n v="44"/>
        <n v="45"/>
        <n v="46"/>
        <n v="47"/>
        <n v="48"/>
        <n v="49"/>
        <n v="50"/>
        <n v="51"/>
        <n v="52"/>
        <n v="53"/>
        <n v="54"/>
        <n v="55"/>
        <n v="56"/>
        <n v="57"/>
        <n v="58"/>
        <n v="59"/>
        <n v="60"/>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Hospital Emergency Room Data].[Patient Waittime].&amp;[31]"/>
            <x15:cachedUniqueName index="1" name="[Hospital Emergency Room Data].[Patient Waittime].&amp;[32]"/>
            <x15:cachedUniqueName index="2" name="[Hospital Emergency Room Data].[Patient Waittime].&amp;[33]"/>
            <x15:cachedUniqueName index="3" name="[Hospital Emergency Room Data].[Patient Waittime].&amp;[34]"/>
            <x15:cachedUniqueName index="4" name="[Hospital Emergency Room Data].[Patient Waittime].&amp;[35]"/>
            <x15:cachedUniqueName index="5" name="[Hospital Emergency Room Data].[Patient Waittime].&amp;[36]"/>
            <x15:cachedUniqueName index="6" name="[Hospital Emergency Room Data].[Patient Waittime].&amp;[37]"/>
            <x15:cachedUniqueName index="7" name="[Hospital Emergency Room Data].[Patient Waittime].&amp;[38]"/>
            <x15:cachedUniqueName index="8" name="[Hospital Emergency Room Data].[Patient Waittime].&amp;[39]"/>
            <x15:cachedUniqueName index="9" name="[Hospital Emergency Room Data].[Patient Waittime].&amp;[40]"/>
            <x15:cachedUniqueName index="10" name="[Hospital Emergency Room Data].[Patient Waittime].&amp;[41]"/>
            <x15:cachedUniqueName index="11" name="[Hospital Emergency Room Data].[Patient Waittime].&amp;[42]"/>
            <x15:cachedUniqueName index="12" name="[Hospital Emergency Room Data].[Patient Waittime].&amp;[43]"/>
            <x15:cachedUniqueName index="13" name="[Hospital Emergency Room Data].[Patient Waittime].&amp;[44]"/>
            <x15:cachedUniqueName index="14" name="[Hospital Emergency Room Data].[Patient Waittime].&amp;[45]"/>
            <x15:cachedUniqueName index="15" name="[Hospital Emergency Room Data].[Patient Waittime].&amp;[46]"/>
            <x15:cachedUniqueName index="16" name="[Hospital Emergency Room Data].[Patient Waittime].&amp;[47]"/>
            <x15:cachedUniqueName index="17" name="[Hospital Emergency Room Data].[Patient Waittime].&amp;[48]"/>
            <x15:cachedUniqueName index="18" name="[Hospital Emergency Room Data].[Patient Waittime].&amp;[49]"/>
            <x15:cachedUniqueName index="19" name="[Hospital Emergency Room Data].[Patient Waittime].&amp;[50]"/>
            <x15:cachedUniqueName index="20" name="[Hospital Emergency Room Data].[Patient Waittime].&amp;[51]"/>
            <x15:cachedUniqueName index="21" name="[Hospital Emergency Room Data].[Patient Waittime].&amp;[52]"/>
            <x15:cachedUniqueName index="22" name="[Hospital Emergency Room Data].[Patient Waittime].&amp;[53]"/>
            <x15:cachedUniqueName index="23" name="[Hospital Emergency Room Data].[Patient Waittime].&amp;[54]"/>
            <x15:cachedUniqueName index="24" name="[Hospital Emergency Room Data].[Patient Waittime].&amp;[55]"/>
            <x15:cachedUniqueName index="25" name="[Hospital Emergency Room Data].[Patient Waittime].&amp;[56]"/>
            <x15:cachedUniqueName index="26" name="[Hospital Emergency Room Data].[Patient Waittime].&amp;[57]"/>
            <x15:cachedUniqueName index="27" name="[Hospital Emergency Room Data].[Patient Waittime].&amp;[58]"/>
            <x15:cachedUniqueName index="28" name="[Hospital Emergency Room Data].[Patient Waittime].&amp;[59]"/>
            <x15:cachedUniqueName index="29" name="[Hospital Emergency Room Data].[Patient Waittime].&amp;[60]"/>
            <x15:cachedUniqueName index="30" name="[Hospital Emergency Room Data].[Patient Waittime].&amp;[10]"/>
            <x15:cachedUniqueName index="31" name="[Hospital Emergency Room Data].[Patient Waittime].&amp;[11]"/>
            <x15:cachedUniqueName index="32" name="[Hospital Emergency Room Data].[Patient Waittime].&amp;[12]"/>
            <x15:cachedUniqueName index="33" name="[Hospital Emergency Room Data].[Patient Waittime].&amp;[13]"/>
            <x15:cachedUniqueName index="34" name="[Hospital Emergency Room Data].[Patient Waittime].&amp;[14]"/>
            <x15:cachedUniqueName index="35" name="[Hospital Emergency Room Data].[Patient Waittime].&amp;[15]"/>
            <x15:cachedUniqueName index="36" name="[Hospital Emergency Room Data].[Patient Waittime].&amp;[16]"/>
            <x15:cachedUniqueName index="37" name="[Hospital Emergency Room Data].[Patient Waittime].&amp;[17]"/>
            <x15:cachedUniqueName index="38" name="[Hospital Emergency Room Data].[Patient Waittime].&amp;[18]"/>
            <x15:cachedUniqueName index="39" name="[Hospital Emergency Room Data].[Patient Waittime].&amp;[19]"/>
            <x15:cachedUniqueName index="40" name="[Hospital Emergency Room Data].[Patient Waittime].&amp;[20]"/>
            <x15:cachedUniqueName index="41" name="[Hospital Emergency Room Data].[Patient Waittime].&amp;[21]"/>
            <x15:cachedUniqueName index="42" name="[Hospital Emergency Room Data].[Patient Waittime].&amp;[22]"/>
            <x15:cachedUniqueName index="43" name="[Hospital Emergency Room Data].[Patient Waittime].&amp;[23]"/>
            <x15:cachedUniqueName index="44" name="[Hospital Emergency Room Data].[Patient Waittime].&amp;[24]"/>
            <x15:cachedUniqueName index="45" name="[Hospital Emergency Room Data].[Patient Waittime].&amp;[25]"/>
            <x15:cachedUniqueName index="46" name="[Hospital Emergency Room Data].[Patient Waittime].&amp;[26]"/>
            <x15:cachedUniqueName index="47" name="[Hospital Emergency Room Data].[Patient Waittime].&amp;[27]"/>
            <x15:cachedUniqueName index="48" name="[Hospital Emergency Room Data].[Patient Waittime].&amp;[28]"/>
            <x15:cachedUniqueName index="49" name="[Hospital Emergency Room Data].[Patient Waittime].&amp;[29]"/>
            <x15:cachedUniqueName index="50" name="[Hospital Emergency Room Data].[Patient Waittime].&amp;[30]"/>
          </x15:cachedUniqueNames>
        </ext>
      </extLst>
    </cacheField>
    <cacheField name="[Hospital Emergency Room Data].[Calculated Column 1].[Calculated Column 1]" caption="Calculated Column 1" numFmtId="0" hierarchy="17" level="1">
      <sharedItems count="2">
        <s v="Delay"/>
        <s v="On Time"/>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5"/>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3"/>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4"/>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4.747279513889" createdVersion="5" refreshedVersion="8" minRefreshableVersion="3" recordCount="0" supportSubquery="1" supportAdvancedDrill="1" xr:uid="{89412680-2181-42C3-82DE-62BA750060E1}">
  <cacheSource type="external" connectionId="3"/>
  <cacheFields count="6">
    <cacheField name="[Calender_Table].[Date (Month)].[Date (Month)]" caption="Date (Month)" numFmtId="0" hierarchy="1" level="1">
      <sharedItems count="1">
        <s v="Jun"/>
      </sharedItems>
    </cacheField>
    <cacheField name="[Hospital Emergency Room Data].[Patient Waittime].[Patient Waittime]" caption="Patient Waittime" numFmtId="0" hierarchy="15" level="1">
      <sharedItems containsSemiMixedTypes="0" containsString="0" containsNumber="1" containsInteger="1" minValue="10" maxValue="60" count="51">
        <n v="31"/>
        <n v="32"/>
        <n v="33"/>
        <n v="34"/>
        <n v="35"/>
        <n v="36"/>
        <n v="37"/>
        <n v="38"/>
        <n v="39"/>
        <n v="40"/>
        <n v="41"/>
        <n v="42"/>
        <n v="43"/>
        <n v="44"/>
        <n v="45"/>
        <n v="46"/>
        <n v="47"/>
        <n v="48"/>
        <n v="49"/>
        <n v="50"/>
        <n v="51"/>
        <n v="52"/>
        <n v="53"/>
        <n v="54"/>
        <n v="55"/>
        <n v="56"/>
        <n v="57"/>
        <n v="58"/>
        <n v="59"/>
        <n v="60"/>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Hospital Emergency Room Data].[Patient Waittime].&amp;[31]"/>
            <x15:cachedUniqueName index="1" name="[Hospital Emergency Room Data].[Patient Waittime].&amp;[32]"/>
            <x15:cachedUniqueName index="2" name="[Hospital Emergency Room Data].[Patient Waittime].&amp;[33]"/>
            <x15:cachedUniqueName index="3" name="[Hospital Emergency Room Data].[Patient Waittime].&amp;[34]"/>
            <x15:cachedUniqueName index="4" name="[Hospital Emergency Room Data].[Patient Waittime].&amp;[35]"/>
            <x15:cachedUniqueName index="5" name="[Hospital Emergency Room Data].[Patient Waittime].&amp;[36]"/>
            <x15:cachedUniqueName index="6" name="[Hospital Emergency Room Data].[Patient Waittime].&amp;[37]"/>
            <x15:cachedUniqueName index="7" name="[Hospital Emergency Room Data].[Patient Waittime].&amp;[38]"/>
            <x15:cachedUniqueName index="8" name="[Hospital Emergency Room Data].[Patient Waittime].&amp;[39]"/>
            <x15:cachedUniqueName index="9" name="[Hospital Emergency Room Data].[Patient Waittime].&amp;[40]"/>
            <x15:cachedUniqueName index="10" name="[Hospital Emergency Room Data].[Patient Waittime].&amp;[41]"/>
            <x15:cachedUniqueName index="11" name="[Hospital Emergency Room Data].[Patient Waittime].&amp;[42]"/>
            <x15:cachedUniqueName index="12" name="[Hospital Emergency Room Data].[Patient Waittime].&amp;[43]"/>
            <x15:cachedUniqueName index="13" name="[Hospital Emergency Room Data].[Patient Waittime].&amp;[44]"/>
            <x15:cachedUniqueName index="14" name="[Hospital Emergency Room Data].[Patient Waittime].&amp;[45]"/>
            <x15:cachedUniqueName index="15" name="[Hospital Emergency Room Data].[Patient Waittime].&amp;[46]"/>
            <x15:cachedUniqueName index="16" name="[Hospital Emergency Room Data].[Patient Waittime].&amp;[47]"/>
            <x15:cachedUniqueName index="17" name="[Hospital Emergency Room Data].[Patient Waittime].&amp;[48]"/>
            <x15:cachedUniqueName index="18" name="[Hospital Emergency Room Data].[Patient Waittime].&amp;[49]"/>
            <x15:cachedUniqueName index="19" name="[Hospital Emergency Room Data].[Patient Waittime].&amp;[50]"/>
            <x15:cachedUniqueName index="20" name="[Hospital Emergency Room Data].[Patient Waittime].&amp;[51]"/>
            <x15:cachedUniqueName index="21" name="[Hospital Emergency Room Data].[Patient Waittime].&amp;[52]"/>
            <x15:cachedUniqueName index="22" name="[Hospital Emergency Room Data].[Patient Waittime].&amp;[53]"/>
            <x15:cachedUniqueName index="23" name="[Hospital Emergency Room Data].[Patient Waittime].&amp;[54]"/>
            <x15:cachedUniqueName index="24" name="[Hospital Emergency Room Data].[Patient Waittime].&amp;[55]"/>
            <x15:cachedUniqueName index="25" name="[Hospital Emergency Room Data].[Patient Waittime].&amp;[56]"/>
            <x15:cachedUniqueName index="26" name="[Hospital Emergency Room Data].[Patient Waittime].&amp;[57]"/>
            <x15:cachedUniqueName index="27" name="[Hospital Emergency Room Data].[Patient Waittime].&amp;[58]"/>
            <x15:cachedUniqueName index="28" name="[Hospital Emergency Room Data].[Patient Waittime].&amp;[59]"/>
            <x15:cachedUniqueName index="29" name="[Hospital Emergency Room Data].[Patient Waittime].&amp;[60]"/>
            <x15:cachedUniqueName index="30" name="[Hospital Emergency Room Data].[Patient Waittime].&amp;[10]"/>
            <x15:cachedUniqueName index="31" name="[Hospital Emergency Room Data].[Patient Waittime].&amp;[11]"/>
            <x15:cachedUniqueName index="32" name="[Hospital Emergency Room Data].[Patient Waittime].&amp;[12]"/>
            <x15:cachedUniqueName index="33" name="[Hospital Emergency Room Data].[Patient Waittime].&amp;[13]"/>
            <x15:cachedUniqueName index="34" name="[Hospital Emergency Room Data].[Patient Waittime].&amp;[14]"/>
            <x15:cachedUniqueName index="35" name="[Hospital Emergency Room Data].[Patient Waittime].&amp;[15]"/>
            <x15:cachedUniqueName index="36" name="[Hospital Emergency Room Data].[Patient Waittime].&amp;[16]"/>
            <x15:cachedUniqueName index="37" name="[Hospital Emergency Room Data].[Patient Waittime].&amp;[17]"/>
            <x15:cachedUniqueName index="38" name="[Hospital Emergency Room Data].[Patient Waittime].&amp;[18]"/>
            <x15:cachedUniqueName index="39" name="[Hospital Emergency Room Data].[Patient Waittime].&amp;[19]"/>
            <x15:cachedUniqueName index="40" name="[Hospital Emergency Room Data].[Patient Waittime].&amp;[20]"/>
            <x15:cachedUniqueName index="41" name="[Hospital Emergency Room Data].[Patient Waittime].&amp;[21]"/>
            <x15:cachedUniqueName index="42" name="[Hospital Emergency Room Data].[Patient Waittime].&amp;[22]"/>
            <x15:cachedUniqueName index="43" name="[Hospital Emergency Room Data].[Patient Waittime].&amp;[23]"/>
            <x15:cachedUniqueName index="44" name="[Hospital Emergency Room Data].[Patient Waittime].&amp;[24]"/>
            <x15:cachedUniqueName index="45" name="[Hospital Emergency Room Data].[Patient Waittime].&amp;[25]"/>
            <x15:cachedUniqueName index="46" name="[Hospital Emergency Room Data].[Patient Waittime].&amp;[26]"/>
            <x15:cachedUniqueName index="47" name="[Hospital Emergency Room Data].[Patient Waittime].&amp;[27]"/>
            <x15:cachedUniqueName index="48" name="[Hospital Emergency Room Data].[Patient Waittime].&amp;[28]"/>
            <x15:cachedUniqueName index="49" name="[Hospital Emergency Room Data].[Patient Waittime].&amp;[29]"/>
            <x15:cachedUniqueName index="50" name="[Hospital Emergency Room Data].[Patient Waittime].&amp;[30]"/>
          </x15:cachedUniqueNames>
        </ext>
      </extLst>
    </cacheField>
    <cacheField name="[Hospital Emergency Room Data].[Calculated Column 1].[Calculated Column 1]" caption="Calculated Column 1" numFmtId="0" hierarchy="17" level="1">
      <sharedItems count="2">
        <s v="Delay"/>
        <s v="On Time"/>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3"/>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5"/>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4"/>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GEETA" refreshedDate="46303.579628356485" createdVersion="3" refreshedVersion="8" minRefreshableVersion="3" recordCount="0" supportSubquery="1" supportAdvancedDrill="1" xr:uid="{FF0F2346-BFA1-483F-9596-AFC596A0D1A9}">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288415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73B12-D9DC-4E9C-97E9-4D8080A93D60}" name="PivotTable24" cacheId="189" applyNumberFormats="0" applyBorderFormats="0" applyFontFormats="0" applyPatternFormats="0" applyAlignmentFormats="0" applyWidthHeightFormats="1" dataCaption="Values" tag="4f995977-2399-4f9e-922f-b0261c55e26a" updatedVersion="8" minRefreshableVersion="3" subtotalHiddenItems="1" itemPrintTitles="1" createdVersion="5" indent="0" outline="1" outlineData="1" multipleFieldFilters="0" chartFormat="47">
  <location ref="A86:B95" firstHeaderRow="1" firstDataRow="1" firstDataCol="1"/>
  <pivotFields count="6">
    <pivotField allDrilled="1" subtotalTop="0" showAll="0" dataSourceSort="1" defaultSubtotal="0" defaultAttributeDrillState="1"/>
    <pivotField name="Patient Waittime"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name="Patient attend Status" allDrilled="1" subtotalTop="0" showAll="0" dataSourceSort="1" defaultSubtotal="0" defaultAttributeDrillState="1">
      <items count="2">
        <item x="0"/>
        <item x="1"/>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3"/>
  </rowFields>
  <rowItems count="9">
    <i>
      <x v="7"/>
    </i>
    <i>
      <x/>
    </i>
    <i>
      <x v="3"/>
    </i>
    <i>
      <x v="1"/>
    </i>
    <i>
      <x v="6"/>
    </i>
    <i>
      <x v="5"/>
    </i>
    <i>
      <x v="2"/>
    </i>
    <i>
      <x v="4"/>
    </i>
    <i t="grand">
      <x/>
    </i>
  </rowItems>
  <colItems count="1">
    <i/>
  </colItems>
  <dataFields count="1">
    <dataField name="Count of Department Referral" fld="4" subtotal="count" baseField="3" baseItem="0"/>
  </dataFields>
  <formats count="15">
    <format dxfId="844">
      <pivotArea dataOnly="0" labelOnly="1" outline="0" axis="axisValues" fieldPosition="0"/>
    </format>
    <format dxfId="843">
      <pivotArea grandRow="1" outline="0" collapsedLevelsAreSubtotals="1" fieldPosition="0"/>
    </format>
    <format dxfId="842">
      <pivotArea dataOnly="0" labelOnly="1" grandRow="1" outline="0" fieldPosition="0"/>
    </format>
    <format dxfId="841">
      <pivotArea outline="0" collapsedLevelsAreSubtotals="1" fieldPosition="0"/>
    </format>
    <format dxfId="840">
      <pivotArea field="2" type="button" dataOnly="0" labelOnly="1" outline="0"/>
    </format>
    <format dxfId="839">
      <pivotArea field="3" type="button" dataOnly="0" labelOnly="1" outline="0" axis="axisRow" fieldPosition="0"/>
    </format>
    <format dxfId="838">
      <pivotArea collapsedLevelsAreSubtotals="1" fieldPosition="0">
        <references count="1">
          <reference field="3" count="0"/>
        </references>
      </pivotArea>
    </format>
    <format dxfId="837">
      <pivotArea dataOnly="0" labelOnly="1" fieldPosition="0">
        <references count="1">
          <reference field="3" count="0"/>
        </references>
      </pivotArea>
    </format>
    <format dxfId="836">
      <pivotArea dataOnly="0" labelOnly="1" fieldPosition="0">
        <references count="1">
          <reference field="3" count="0"/>
        </references>
      </pivotArea>
    </format>
    <format dxfId="835">
      <pivotArea collapsedLevelsAreSubtotals="1" fieldPosition="0">
        <references count="1">
          <reference field="3" count="0"/>
        </references>
      </pivotArea>
    </format>
    <format dxfId="834">
      <pivotArea collapsedLevelsAreSubtotals="1" fieldPosition="0">
        <references count="1">
          <reference field="3" count="0"/>
        </references>
      </pivotArea>
    </format>
    <format dxfId="833">
      <pivotArea field="3" type="button" dataOnly="0" labelOnly="1" outline="0" axis="axisRow" fieldPosition="0"/>
    </format>
    <format dxfId="832">
      <pivotArea dataOnly="0" labelOnly="1" outline="0" axis="axisValues" fieldPosition="0"/>
    </format>
    <format dxfId="831">
      <pivotArea dataOnly="0" labelOnly="1" grandRow="1" outline="0" fieldPosition="0"/>
    </format>
    <format dxfId="830">
      <pivotArea grandRow="1" outline="0" collapsedLevelsAreSubtotals="1" fieldPosition="0"/>
    </format>
  </formats>
  <chartFormats count="1">
    <chartFormat chart="4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attend Status"/>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D70A73-27A0-408B-8848-8C58003DBC30}" name="PivotTable14" cacheId="177" applyNumberFormats="0" applyBorderFormats="0" applyFontFormats="0" applyPatternFormats="0" applyAlignmentFormats="0" applyWidthHeightFormats="1" dataCaption="Values" tag="220420df-6650-4bd3-8d2f-767cbe81c654" updatedVersion="8" minRefreshableVersion="3" subtotalHiddenItems="1" itemPrintTitles="1" createdVersion="5" indent="0" outline="1" outlineData="1" multipleFieldFilters="0" chartFormat="19">
  <location ref="A43:C4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10">
    <format dxfId="854">
      <pivotArea outline="0" collapsedLevelsAreSubtotals="1" fieldPosition="0"/>
    </format>
    <format dxfId="853">
      <pivotArea outline="0" fieldPosition="0">
        <references count="1">
          <reference field="4294967294" count="1">
            <x v="1"/>
          </reference>
        </references>
      </pivotArea>
    </format>
    <format dxfId="852">
      <pivotArea dataOnly="0" labelOnly="1" outline="0" fieldPosition="0">
        <references count="1">
          <reference field="4294967294" count="1">
            <x v="0"/>
          </reference>
        </references>
      </pivotArea>
    </format>
    <format dxfId="851">
      <pivotArea dataOnly="0" labelOnly="1" outline="0" fieldPosition="0">
        <references count="1">
          <reference field="4294967294" count="1">
            <x v="1"/>
          </reference>
        </references>
      </pivotArea>
    </format>
    <format dxfId="850">
      <pivotArea collapsedLevelsAreSubtotals="1" fieldPosition="0">
        <references count="1">
          <reference field="1" count="0"/>
        </references>
      </pivotArea>
    </format>
    <format dxfId="849">
      <pivotArea dataOnly="0" labelOnly="1" fieldPosition="0">
        <references count="1">
          <reference field="1" count="0"/>
        </references>
      </pivotArea>
    </format>
    <format dxfId="848">
      <pivotArea field="1" type="button" dataOnly="0" labelOnly="1" outline="0" axis="axisRow" fieldPosition="0"/>
    </format>
    <format dxfId="847">
      <pivotArea dataOnly="0" labelOnly="1" outline="0" fieldPosition="0">
        <references count="1">
          <reference field="4294967294" count="2">
            <x v="0"/>
            <x v="1"/>
          </reference>
        </references>
      </pivotArea>
    </format>
    <format dxfId="846">
      <pivotArea field="1" type="button" dataOnly="0" labelOnly="1" outline="0" axis="axisRow" fieldPosition="0"/>
    </format>
    <format dxfId="84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39B7A0-1BD3-4F77-98FA-EB7C58224E1D}" name="PivotTable20" cacheId="183" applyNumberFormats="0" applyBorderFormats="0" applyFontFormats="0" applyPatternFormats="0" applyAlignmentFormats="0" applyWidthHeightFormats="1" dataCaption="Values" tag="e1353023-19e3-4d0f-a3a6-676f9bdab670" updatedVersion="8" minRefreshableVersion="3" subtotalHiddenItems="1" itemPrintTitles="1" createdVersion="5" indent="0" outline="1" outlineData="1" multipleFieldFilters="0" chartFormat="30">
  <location ref="A71:B74" firstHeaderRow="1" firstDataRow="1" firstDataCol="1"/>
  <pivotFields count="5">
    <pivotField allDrilled="1" subtotalTop="0" showAll="0" dataSourceSort="1" defaultSubtotal="0" defaultAttributeDrillState="1"/>
    <pivotField name="Patient Waittime"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name="Patient attend Status"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dataFields>
  <formats count="10">
    <format dxfId="864">
      <pivotArea dataOnly="0" labelOnly="1" outline="0" axis="axisValues" fieldPosition="0"/>
    </format>
    <format dxfId="863">
      <pivotArea grandRow="1" outline="0" collapsedLevelsAreSubtotals="1" fieldPosition="0"/>
    </format>
    <format dxfId="862">
      <pivotArea dataOnly="0" labelOnly="1" grandRow="1" outline="0" fieldPosition="0"/>
    </format>
    <format dxfId="861">
      <pivotArea outline="0" collapsedLevelsAreSubtotals="1" fieldPosition="0"/>
    </format>
    <format dxfId="860">
      <pivotArea collapsedLevelsAreSubtotals="1" fieldPosition="0">
        <references count="1">
          <reference field="2" count="0"/>
        </references>
      </pivotArea>
    </format>
    <format dxfId="859">
      <pivotArea dataOnly="0" labelOnly="1" fieldPosition="0">
        <references count="1">
          <reference field="2" count="0"/>
        </references>
      </pivotArea>
    </format>
    <format dxfId="858">
      <pivotArea field="2" type="button" dataOnly="0" labelOnly="1" outline="0" axis="axisRow" fieldPosition="0"/>
    </format>
    <format dxfId="857">
      <pivotArea dataOnly="0" labelOnly="1" outline="0" axis="axisValues" fieldPosition="0"/>
    </format>
    <format dxfId="856">
      <pivotArea grandRow="1" outline="0" collapsedLevelsAreSubtotals="1" fieldPosition="0"/>
    </format>
    <format dxfId="855">
      <pivotArea dataOnly="0" labelOnly="1" grandRow="1" outline="0" fieldPosition="0"/>
    </format>
  </formats>
  <chartFormats count="6">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2" count="1" selected="0">
            <x v="0"/>
          </reference>
        </references>
      </pivotArea>
    </chartFormat>
    <chartFormat chart="27" format="3">
      <pivotArea type="data" outline="0" fieldPosition="0">
        <references count="2">
          <reference field="4294967294" count="1" selected="0">
            <x v="0"/>
          </reference>
          <reference field="2" count="1" selected="0">
            <x v="1"/>
          </reference>
        </references>
      </pivotArea>
    </chartFormat>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B43667-C8C0-41FA-A207-F0AC82730CE9}" name="PivotTable10" cacheId="171" applyNumberFormats="0" applyBorderFormats="0" applyFontFormats="0" applyPatternFormats="0" applyAlignmentFormats="0" applyWidthHeightFormats="1" dataCaption="Values" tag="b00fe226-b779-46b5-b33b-315ead975c09" updatedVersion="8" minRefreshableVersion="3" useAutoFormatting="1" subtotalHiddenItems="1" itemPrintTitles="1" createdVersion="5" indent="0" outline="1" outlineData="1" multipleFieldFilters="0" chartFormat="39" rowHeaderCaption="Row Levels">
  <location ref="H7:I38" firstHeaderRow="1" firstDataRow="1" firstDataCol="1"/>
  <pivotFields count="4">
    <pivotField axis="axisRow" allDrilled="1" subtotalTop="0" showAll="0" dataSourceSort="1"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 time" fld="2" subtotal="average" baseField="0" baseItem="0" numFmtId="2"/>
  </dataFields>
  <formats count="58">
    <format dxfId="922">
      <pivotArea field="0" type="button" dataOnly="0" labelOnly="1" outline="0" axis="axisRow" fieldPosition="0"/>
    </format>
    <format dxfId="921">
      <pivotArea field="0" type="button" dataOnly="0" labelOnly="1" outline="0" axis="axisRow" fieldPosition="0"/>
    </format>
    <format dxfId="920">
      <pivotArea field="0" type="button" dataOnly="0" labelOnly="1" outline="0" axis="axisRow" fieldPosition="0"/>
    </format>
    <format dxfId="919">
      <pivotArea field="0" type="button" dataOnly="0" labelOnly="1" outline="0" axis="axisRow" fieldPosition="0"/>
    </format>
    <format dxfId="918">
      <pivotArea field="0" type="button" dataOnly="0" labelOnly="1" outline="0" axis="axisRow" fieldPosition="0"/>
    </format>
    <format dxfId="917">
      <pivotArea field="0" type="button" dataOnly="0" labelOnly="1" outline="0" axis="axisRow" fieldPosition="0"/>
    </format>
    <format dxfId="916">
      <pivotArea field="0" type="button" dataOnly="0" labelOnly="1" outline="0" axis="axisRow" fieldPosition="0"/>
    </format>
    <format dxfId="915">
      <pivotArea outline="0" collapsedLevelsAreSubtotals="1" fieldPosition="0"/>
    </format>
    <format dxfId="914">
      <pivotArea dataOnly="0" labelOnly="1" outline="0" axis="axisValues" fieldPosition="0"/>
    </format>
    <format dxfId="913">
      <pivotArea dataOnly="0" labelOnly="1" outline="0" axis="axisValues" fieldPosition="0"/>
    </format>
    <format dxfId="912">
      <pivotArea outline="0" collapsedLevelsAreSubtotals="1" fieldPosition="0"/>
    </format>
    <format dxfId="911">
      <pivotArea dataOnly="0" labelOnly="1" outline="0" axis="axisValues" fieldPosition="0"/>
    </format>
    <format dxfId="910">
      <pivotArea dataOnly="0" labelOnly="1" outline="0" axis="axisValues" fieldPosition="0"/>
    </format>
    <format dxfId="909">
      <pivotArea outline="0" collapsedLevelsAreSubtotals="1" fieldPosition="0"/>
    </format>
    <format dxfId="908">
      <pivotArea dataOnly="0" labelOnly="1" outline="0" axis="axisValues" fieldPosition="0"/>
    </format>
    <format dxfId="907">
      <pivotArea dataOnly="0" labelOnly="1" outline="0" axis="axisValues" fieldPosition="0"/>
    </format>
    <format dxfId="906">
      <pivotArea outline="0" collapsedLevelsAreSubtotals="1" fieldPosition="0"/>
    </format>
    <format dxfId="905">
      <pivotArea dataOnly="0" labelOnly="1" outline="0" axis="axisValues" fieldPosition="0"/>
    </format>
    <format dxfId="904">
      <pivotArea dataOnly="0" labelOnly="1" outline="0" axis="axisValues" fieldPosition="0"/>
    </format>
    <format dxfId="903">
      <pivotArea outline="0" collapsedLevelsAreSubtotals="1" fieldPosition="0"/>
    </format>
    <format dxfId="902">
      <pivotArea dataOnly="0" labelOnly="1" outline="0" axis="axisValues" fieldPosition="0"/>
    </format>
    <format dxfId="901">
      <pivotArea dataOnly="0" labelOnly="1" outline="0" axis="axisValues" fieldPosition="0"/>
    </format>
    <format dxfId="900">
      <pivotArea outline="0" collapsedLevelsAreSubtotals="1" fieldPosition="0"/>
    </format>
    <format dxfId="899">
      <pivotArea dataOnly="0" labelOnly="1" outline="0" axis="axisValues" fieldPosition="0"/>
    </format>
    <format dxfId="898">
      <pivotArea dataOnly="0" labelOnly="1" outline="0" axis="axisValues" fieldPosition="0"/>
    </format>
    <format dxfId="897">
      <pivotArea outline="0" collapsedLevelsAreSubtotals="1" fieldPosition="0"/>
    </format>
    <format dxfId="896">
      <pivotArea dataOnly="0" labelOnly="1" outline="0" axis="axisValues" fieldPosition="0"/>
    </format>
    <format dxfId="895">
      <pivotArea dataOnly="0" labelOnly="1" outline="0" axis="axisValues" fieldPosition="0"/>
    </format>
    <format dxfId="894">
      <pivotArea outline="0" collapsedLevelsAreSubtotals="1" fieldPosition="0"/>
    </format>
    <format dxfId="893">
      <pivotArea dataOnly="0" labelOnly="1" outline="0" axis="axisValues" fieldPosition="0"/>
    </format>
    <format dxfId="892">
      <pivotArea dataOnly="0" labelOnly="1" outline="0" axis="axisValues" fieldPosition="0"/>
    </format>
    <format dxfId="891">
      <pivotArea outline="0" collapsedLevelsAreSubtotals="1" fieldPosition="0"/>
    </format>
    <format dxfId="890">
      <pivotArea dataOnly="0" labelOnly="1" outline="0" axis="axisValues" fieldPosition="0"/>
    </format>
    <format dxfId="889">
      <pivotArea dataOnly="0" labelOnly="1" outline="0" axis="axisValues" fieldPosition="0"/>
    </format>
    <format dxfId="888">
      <pivotArea outline="0" collapsedLevelsAreSubtotals="1" fieldPosition="0"/>
    </format>
    <format dxfId="887">
      <pivotArea dataOnly="0" labelOnly="1" outline="0" axis="axisValues" fieldPosition="0"/>
    </format>
    <format dxfId="886">
      <pivotArea dataOnly="0" labelOnly="1" outline="0" axis="axisValues" fieldPosition="0"/>
    </format>
    <format dxfId="885">
      <pivotArea outline="0" collapsedLevelsAreSubtotals="1" fieldPosition="0"/>
    </format>
    <format dxfId="884">
      <pivotArea dataOnly="0" labelOnly="1" outline="0" axis="axisValues" fieldPosition="0"/>
    </format>
    <format dxfId="883">
      <pivotArea dataOnly="0" labelOnly="1" outline="0" axis="axisValues" fieldPosition="0"/>
    </format>
    <format dxfId="882">
      <pivotArea outline="0" collapsedLevelsAreSubtotals="1" fieldPosition="0"/>
    </format>
    <format dxfId="881">
      <pivotArea dataOnly="0" labelOnly="1" outline="0" axis="axisValues" fieldPosition="0"/>
    </format>
    <format dxfId="880">
      <pivotArea dataOnly="0" labelOnly="1" outline="0" axis="axisValues" fieldPosition="0"/>
    </format>
    <format dxfId="879">
      <pivotArea outline="0" collapsedLevelsAreSubtotals="1" fieldPosition="0"/>
    </format>
    <format dxfId="878">
      <pivotArea dataOnly="0" labelOnly="1" outline="0" axis="axisValues" fieldPosition="0"/>
    </format>
    <format dxfId="877">
      <pivotArea dataOnly="0" labelOnly="1" outline="0" axis="axisValues" fieldPosition="0"/>
    </format>
    <format dxfId="876">
      <pivotArea outline="0" collapsedLevelsAreSubtotals="1" fieldPosition="0"/>
    </format>
    <format dxfId="875">
      <pivotArea dataOnly="0" labelOnly="1" outline="0" axis="axisValues" fieldPosition="0"/>
    </format>
    <format dxfId="874">
      <pivotArea dataOnly="0" labelOnly="1" outline="0" axis="axisValues" fieldPosition="0"/>
    </format>
    <format dxfId="873">
      <pivotArea outline="0" collapsedLevelsAreSubtotals="1" fieldPosition="0"/>
    </format>
    <format dxfId="872">
      <pivotArea dataOnly="0" labelOnly="1" outline="0" axis="axisValues" fieldPosition="0"/>
    </format>
    <format dxfId="871">
      <pivotArea dataOnly="0" labelOnly="1" outline="0" axis="axisValues" fieldPosition="0"/>
    </format>
    <format dxfId="870">
      <pivotArea outline="0" collapsedLevelsAreSubtotals="1" fieldPosition="0"/>
    </format>
    <format dxfId="869">
      <pivotArea outline="0" collapsedLevelsAreSubtotals="1" fieldPosition="0"/>
    </format>
    <format dxfId="868">
      <pivotArea field="0" type="button" dataOnly="0" labelOnly="1" outline="0" axis="axisRow" fieldPosition="0"/>
    </format>
    <format dxfId="867">
      <pivotArea dataOnly="0" labelOnly="1" outline="0" axis="axisValues" fieldPosition="0"/>
    </format>
    <format dxfId="866">
      <pivotArea collapsedLevelsAreSubtotals="1" fieldPosition="0">
        <references count="1">
          <reference field="0" count="0"/>
        </references>
      </pivotArea>
    </format>
    <format dxfId="865">
      <pivotArea dataOnly="0" labelOnly="1" fieldPosition="0">
        <references count="1">
          <reference field="0" count="0"/>
        </references>
      </pivotArea>
    </format>
  </formats>
  <chartFormats count="32">
    <chartFormat chart="34" format="2"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0" count="1" selected="0">
            <x v="30"/>
          </reference>
        </references>
      </pivotArea>
    </chartFormat>
    <chartFormat chart="37" format="6">
      <pivotArea type="data" outline="0" fieldPosition="0">
        <references count="2">
          <reference field="4294967294" count="1" selected="0">
            <x v="0"/>
          </reference>
          <reference field="0" count="1" selected="0">
            <x v="31"/>
          </reference>
        </references>
      </pivotArea>
    </chartFormat>
    <chartFormat chart="37" format="7">
      <pivotArea type="data" outline="0" fieldPosition="0">
        <references count="2">
          <reference field="4294967294" count="1" selected="0">
            <x v="0"/>
          </reference>
          <reference field="0" count="1" selected="0">
            <x v="32"/>
          </reference>
        </references>
      </pivotArea>
    </chartFormat>
    <chartFormat chart="37" format="8">
      <pivotArea type="data" outline="0" fieldPosition="0">
        <references count="2">
          <reference field="4294967294" count="1" selected="0">
            <x v="0"/>
          </reference>
          <reference field="0" count="1" selected="0">
            <x v="33"/>
          </reference>
        </references>
      </pivotArea>
    </chartFormat>
    <chartFormat chart="37" format="9">
      <pivotArea type="data" outline="0" fieldPosition="0">
        <references count="2">
          <reference field="4294967294" count="1" selected="0">
            <x v="0"/>
          </reference>
          <reference field="0" count="1" selected="0">
            <x v="34"/>
          </reference>
        </references>
      </pivotArea>
    </chartFormat>
    <chartFormat chart="37" format="10">
      <pivotArea type="data" outline="0" fieldPosition="0">
        <references count="2">
          <reference field="4294967294" count="1" selected="0">
            <x v="0"/>
          </reference>
          <reference field="0" count="1" selected="0">
            <x v="35"/>
          </reference>
        </references>
      </pivotArea>
    </chartFormat>
    <chartFormat chart="37" format="11">
      <pivotArea type="data" outline="0" fieldPosition="0">
        <references count="2">
          <reference field="4294967294" count="1" selected="0">
            <x v="0"/>
          </reference>
          <reference field="0" count="1" selected="0">
            <x v="36"/>
          </reference>
        </references>
      </pivotArea>
    </chartFormat>
    <chartFormat chart="37" format="12">
      <pivotArea type="data" outline="0" fieldPosition="0">
        <references count="2">
          <reference field="4294967294" count="1" selected="0">
            <x v="0"/>
          </reference>
          <reference field="0" count="1" selected="0">
            <x v="37"/>
          </reference>
        </references>
      </pivotArea>
    </chartFormat>
    <chartFormat chart="37" format="13">
      <pivotArea type="data" outline="0" fieldPosition="0">
        <references count="2">
          <reference field="4294967294" count="1" selected="0">
            <x v="0"/>
          </reference>
          <reference field="0" count="1" selected="0">
            <x v="38"/>
          </reference>
        </references>
      </pivotArea>
    </chartFormat>
    <chartFormat chart="37" format="14">
      <pivotArea type="data" outline="0" fieldPosition="0">
        <references count="2">
          <reference field="4294967294" count="1" selected="0">
            <x v="0"/>
          </reference>
          <reference field="0" count="1" selected="0">
            <x v="39"/>
          </reference>
        </references>
      </pivotArea>
    </chartFormat>
    <chartFormat chart="37" format="15">
      <pivotArea type="data" outline="0" fieldPosition="0">
        <references count="2">
          <reference field="4294967294" count="1" selected="0">
            <x v="0"/>
          </reference>
          <reference field="0" count="1" selected="0">
            <x v="40"/>
          </reference>
        </references>
      </pivotArea>
    </chartFormat>
    <chartFormat chart="37" format="16">
      <pivotArea type="data" outline="0" fieldPosition="0">
        <references count="2">
          <reference field="4294967294" count="1" selected="0">
            <x v="0"/>
          </reference>
          <reference field="0" count="1" selected="0">
            <x v="41"/>
          </reference>
        </references>
      </pivotArea>
    </chartFormat>
    <chartFormat chart="37" format="17">
      <pivotArea type="data" outline="0" fieldPosition="0">
        <references count="2">
          <reference field="4294967294" count="1" selected="0">
            <x v="0"/>
          </reference>
          <reference field="0" count="1" selected="0">
            <x v="42"/>
          </reference>
        </references>
      </pivotArea>
    </chartFormat>
    <chartFormat chart="37" format="18">
      <pivotArea type="data" outline="0" fieldPosition="0">
        <references count="2">
          <reference field="4294967294" count="1" selected="0">
            <x v="0"/>
          </reference>
          <reference field="0" count="1" selected="0">
            <x v="43"/>
          </reference>
        </references>
      </pivotArea>
    </chartFormat>
    <chartFormat chart="37" format="19">
      <pivotArea type="data" outline="0" fieldPosition="0">
        <references count="2">
          <reference field="4294967294" count="1" selected="0">
            <x v="0"/>
          </reference>
          <reference field="0" count="1" selected="0">
            <x v="44"/>
          </reference>
        </references>
      </pivotArea>
    </chartFormat>
    <chartFormat chart="37" format="20">
      <pivotArea type="data" outline="0" fieldPosition="0">
        <references count="2">
          <reference field="4294967294" count="1" selected="0">
            <x v="0"/>
          </reference>
          <reference field="0" count="1" selected="0">
            <x v="45"/>
          </reference>
        </references>
      </pivotArea>
    </chartFormat>
    <chartFormat chart="37" format="21">
      <pivotArea type="data" outline="0" fieldPosition="0">
        <references count="2">
          <reference field="4294967294" count="1" selected="0">
            <x v="0"/>
          </reference>
          <reference field="0" count="1" selected="0">
            <x v="46"/>
          </reference>
        </references>
      </pivotArea>
    </chartFormat>
    <chartFormat chart="37" format="22">
      <pivotArea type="data" outline="0" fieldPosition="0">
        <references count="2">
          <reference field="4294967294" count="1" selected="0">
            <x v="0"/>
          </reference>
          <reference field="0" count="1" selected="0">
            <x v="47"/>
          </reference>
        </references>
      </pivotArea>
    </chartFormat>
    <chartFormat chart="37" format="23">
      <pivotArea type="data" outline="0" fieldPosition="0">
        <references count="2">
          <reference field="4294967294" count="1" selected="0">
            <x v="0"/>
          </reference>
          <reference field="0" count="1" selected="0">
            <x v="48"/>
          </reference>
        </references>
      </pivotArea>
    </chartFormat>
    <chartFormat chart="37" format="24">
      <pivotArea type="data" outline="0" fieldPosition="0">
        <references count="2">
          <reference field="4294967294" count="1" selected="0">
            <x v="0"/>
          </reference>
          <reference field="0" count="1" selected="0">
            <x v="49"/>
          </reference>
        </references>
      </pivotArea>
    </chartFormat>
    <chartFormat chart="37" format="25">
      <pivotArea type="data" outline="0" fieldPosition="0">
        <references count="2">
          <reference field="4294967294" count="1" selected="0">
            <x v="0"/>
          </reference>
          <reference field="0" count="1" selected="0">
            <x v="50"/>
          </reference>
        </references>
      </pivotArea>
    </chartFormat>
    <chartFormat chart="37" format="26">
      <pivotArea type="data" outline="0" fieldPosition="0">
        <references count="2">
          <reference field="4294967294" count="1" selected="0">
            <x v="0"/>
          </reference>
          <reference field="0" count="1" selected="0">
            <x v="51"/>
          </reference>
        </references>
      </pivotArea>
    </chartFormat>
    <chartFormat chart="37" format="27">
      <pivotArea type="data" outline="0" fieldPosition="0">
        <references count="2">
          <reference field="4294967294" count="1" selected="0">
            <x v="0"/>
          </reference>
          <reference field="0" count="1" selected="0">
            <x v="52"/>
          </reference>
        </references>
      </pivotArea>
    </chartFormat>
    <chartFormat chart="37" format="28">
      <pivotArea type="data" outline="0" fieldPosition="0">
        <references count="2">
          <reference field="4294967294" count="1" selected="0">
            <x v="0"/>
          </reference>
          <reference field="0" count="1" selected="0">
            <x v="53"/>
          </reference>
        </references>
      </pivotArea>
    </chartFormat>
    <chartFormat chart="37" format="29">
      <pivotArea type="data" outline="0" fieldPosition="0">
        <references count="2">
          <reference field="4294967294" count="1" selected="0">
            <x v="0"/>
          </reference>
          <reference field="0" count="1" selected="0">
            <x v="54"/>
          </reference>
        </references>
      </pivotArea>
    </chartFormat>
    <chartFormat chart="37" format="30">
      <pivotArea type="data" outline="0" fieldPosition="0">
        <references count="2">
          <reference field="4294967294" count="1" selected="0">
            <x v="0"/>
          </reference>
          <reference field="0" count="1" selected="0">
            <x v="55"/>
          </reference>
        </references>
      </pivotArea>
    </chartFormat>
    <chartFormat chart="37" format="31">
      <pivotArea type="data" outline="0" fieldPosition="0">
        <references count="2">
          <reference field="4294967294" count="1" selected="0">
            <x v="0"/>
          </reference>
          <reference field="0" count="1" selected="0">
            <x v="56"/>
          </reference>
        </references>
      </pivotArea>
    </chartFormat>
    <chartFormat chart="37" format="32">
      <pivotArea type="data" outline="0" fieldPosition="0">
        <references count="2">
          <reference field="4294967294" count="1" selected="0">
            <x v="0"/>
          </reference>
          <reference field="0" count="1" selected="0">
            <x v="57"/>
          </reference>
        </references>
      </pivotArea>
    </chartFormat>
    <chartFormat chart="37" format="33">
      <pivotArea type="data" outline="0" fieldPosition="0">
        <references count="2">
          <reference field="4294967294" count="1" selected="0">
            <x v="0"/>
          </reference>
          <reference field="0" count="1" selected="0">
            <x v="58"/>
          </reference>
        </references>
      </pivotArea>
    </chartFormat>
    <chartFormat chart="37" format="34">
      <pivotArea type="data" outline="0" fieldPosition="0">
        <references count="2">
          <reference field="4294967294" count="1" selected="0">
            <x v="0"/>
          </reference>
          <reference field="0" count="1" selected="0">
            <x v="59"/>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 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A374D8-7428-447A-A318-9D0A446CB175}" name="PivotTable16" cacheId="180" applyNumberFormats="0" applyBorderFormats="0" applyFontFormats="0" applyPatternFormats="0" applyAlignmentFormats="0" applyWidthHeightFormats="1" dataCaption="Values" tag="4cf1a5dd-de8b-46e8-85ea-4d18c849cf0f" updatedVersion="8" minRefreshableVersion="3" subtotalHiddenItems="1" itemPrintTitles="1" createdVersion="5" indent="0" outline="1" outlineData="1" multipleFieldFilters="0" chartFormat="25">
  <location ref="A58:B66"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numFmtId="1"/>
  </dataFields>
  <formats count="13">
    <format dxfId="935">
      <pivotArea collapsedLevelsAreSubtotals="1" fieldPosition="0">
        <references count="1">
          <reference field="1" count="0"/>
        </references>
      </pivotArea>
    </format>
    <format dxfId="934">
      <pivotArea dataOnly="0" labelOnly="1" fieldPosition="0">
        <references count="1">
          <reference field="1" count="0"/>
        </references>
      </pivotArea>
    </format>
    <format dxfId="933">
      <pivotArea collapsedLevelsAreSubtotals="1" fieldPosition="0">
        <references count="1">
          <reference field="1" count="0"/>
        </references>
      </pivotArea>
    </format>
    <format dxfId="932">
      <pivotArea dataOnly="0" labelOnly="1" fieldPosition="0">
        <references count="1">
          <reference field="1" count="0"/>
        </references>
      </pivotArea>
    </format>
    <format dxfId="931">
      <pivotArea field="1" type="button" dataOnly="0" labelOnly="1" outline="0" axis="axisRow" fieldPosition="0"/>
    </format>
    <format dxfId="930">
      <pivotArea dataOnly="0" labelOnly="1" outline="0" axis="axisValues" fieldPosition="0"/>
    </format>
    <format dxfId="929">
      <pivotArea grandRow="1" outline="0" collapsedLevelsAreSubtotals="1" fieldPosition="0"/>
    </format>
    <format dxfId="928">
      <pivotArea dataOnly="0" labelOnly="1" grandRow="1" outline="0" fieldPosition="0"/>
    </format>
    <format dxfId="927">
      <pivotArea outline="0" collapsedLevelsAreSubtotals="1" fieldPosition="0"/>
    </format>
    <format dxfId="926">
      <pivotArea field="1" type="button" dataOnly="0" labelOnly="1" outline="0" axis="axisRow" fieldPosition="0"/>
    </format>
    <format dxfId="925">
      <pivotArea dataOnly="0" labelOnly="1" outline="0" axis="axisValues" fieldPosition="0"/>
    </format>
    <format dxfId="924">
      <pivotArea grandRow="1" outline="0" collapsedLevelsAreSubtotals="1" fieldPosition="0"/>
    </format>
    <format dxfId="923">
      <pivotArea dataOnly="0" labelOnly="1" grandRow="1" outline="0" fieldPosition="0"/>
    </format>
  </formats>
  <chartFormats count="1">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E14EB3-1E99-4DBB-A446-548D48ACDB9D}" name="PivotTable26" cacheId="192" applyNumberFormats="0" applyBorderFormats="0" applyFontFormats="0" applyPatternFormats="0" applyAlignmentFormats="0" applyWidthHeightFormats="1" dataCaption="Values" tag="bfdb2093-0e61-46e9-9011-c4023e9286c9" updatedVersion="8" minRefreshableVersion="3" subtotalHiddenItems="1" itemPrintTitles="1" createdVersion="5" indent="0" outline="1" outlineData="1" multipleFieldFilters="0" chartFormat="47">
  <location ref="A99:A101" firstHeaderRow="1" firstDataRow="1" firstDataCol="1"/>
  <pivotFields count="6">
    <pivotField axis="axisRow" allDrilled="1" subtotalTop="0" showAll="0" dataSourceSort="1" defaultSubtotal="0">
      <items count="1">
        <item x="0" e="0"/>
      </items>
    </pivotField>
    <pivotField name="Patient Waittime"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name="Patient attend Status" allDrilled="1" subtotalTop="0" showAll="0" dataSourceSort="1" defaultSubtotal="0" defaultAttributeDrillState="1">
      <items count="2">
        <item x="0"/>
        <item x="1"/>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5"/>
    <field x="4"/>
    <field x="0"/>
    <field x="3"/>
  </rowFields>
  <rowItems count="2">
    <i>
      <x/>
    </i>
    <i t="grand">
      <x/>
    </i>
  </rowItems>
  <formats count="12">
    <format dxfId="947">
      <pivotArea dataOnly="0" labelOnly="1" outline="0" axis="axisValues" fieldPosition="0"/>
    </format>
    <format dxfId="946">
      <pivotArea dataOnly="0" labelOnly="1" outline="0" axis="axisValues" fieldPosition="0"/>
    </format>
    <format dxfId="945">
      <pivotArea grandRow="1" outline="0" collapsedLevelsAreSubtotals="1" fieldPosition="0"/>
    </format>
    <format dxfId="944">
      <pivotArea grandRow="1" outline="0" collapsedLevelsAreSubtotals="1" fieldPosition="0"/>
    </format>
    <format dxfId="943">
      <pivotArea dataOnly="0" labelOnly="1" grandRow="1" outline="0" fieldPosition="0"/>
    </format>
    <format dxfId="942">
      <pivotArea outline="0" collapsedLevelsAreSubtotals="1" fieldPosition="0"/>
    </format>
    <format dxfId="941">
      <pivotArea field="2" type="button" dataOnly="0" labelOnly="1" outline="0"/>
    </format>
    <format dxfId="940">
      <pivotArea field="5" type="button" dataOnly="0" labelOnly="1" outline="0" axis="axisRow" fieldPosition="0"/>
    </format>
    <format dxfId="939">
      <pivotArea dataOnly="0" labelOnly="1" grandRow="1" outline="0" fieldPosition="0"/>
    </format>
    <format dxfId="938">
      <pivotArea field="5" type="button" dataOnly="0" labelOnly="1" outline="0" axis="axisRow" fieldPosition="0"/>
    </format>
    <format dxfId="937">
      <pivotArea dataOnly="0" labelOnly="1" fieldPosition="0">
        <references count="1">
          <reference field="5" count="0"/>
        </references>
      </pivotArea>
    </format>
    <format dxfId="936">
      <pivotArea dataOnly="0" labelOnly="1" fieldPosition="0">
        <references count="1">
          <reference field="5" count="0"/>
        </references>
      </pivotArea>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attend Status"/>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4FBF3F-0249-4284-91F1-99B5FE435016}" name="PivotTable3" cacheId="168" applyNumberFormats="0" applyBorderFormats="0" applyFontFormats="0" applyPatternFormats="0" applyAlignmentFormats="0" applyWidthHeightFormats="1" dataCaption="Values" tag="a1834a69-c638-4d39-83f3-4e3f9726dd00" updatedVersion="8" minRefreshableVersion="3" useAutoFormatting="1" subtotalHiddenItems="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cfaction Score" fld="0" subtotal="average" baseField="0" baseItem="0"/>
  </dataFields>
  <formats count="6">
    <format dxfId="953">
      <pivotArea outline="0" collapsedLevelsAreSubtotals="1" fieldPosition="0"/>
    </format>
    <format dxfId="952">
      <pivotArea dataOnly="0" labelOnly="1" outline="0" axis="axisValues" fieldPosition="0"/>
    </format>
    <format dxfId="951">
      <pivotArea outline="0" collapsedLevelsAreSubtotals="1" fieldPosition="0"/>
    </format>
    <format dxfId="950">
      <pivotArea type="all" dataOnly="0" outline="0" fieldPosition="0"/>
    </format>
    <format dxfId="949">
      <pivotArea outline="0" collapsedLevelsAreSubtotals="1" fieldPosition="0"/>
    </format>
    <format dxfId="948">
      <pivotArea dataOnly="0" labelOnly="1" outline="0" axis="axisValues"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2101EC-A393-466B-B05B-D2123E9D7A76}" name="PivotTable22" cacheId="186" applyNumberFormats="0" applyBorderFormats="0" applyFontFormats="0" applyPatternFormats="0" applyAlignmentFormats="0" applyWidthHeightFormats="1" dataCaption="Values" tag="708fb342-52c4-43a9-9f33-3de410c7a33b" updatedVersion="8" minRefreshableVersion="3" subtotalHiddenItems="1" itemPrintTitles="1" createdVersion="5" indent="0" outline="1" outlineData="1" multipleFieldFilters="0" chartFormat="38">
  <location ref="A78:B81" firstHeaderRow="1" firstDataRow="1" firstDataCol="1"/>
  <pivotFields count="6">
    <pivotField allDrilled="1" subtotalTop="0" showAll="0" dataSourceSort="1" defaultSubtotal="0" defaultAttributeDrillState="1"/>
    <pivotField name="Patient Waittime" allDrilled="1" subtotalTop="0" showAll="0" dataSourceSort="1"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name="Patient attend Status"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Patient Gender" fld="4" subtotal="count" baseField="0" baseItem="0"/>
  </dataFields>
  <formats count="12">
    <format dxfId="965">
      <pivotArea dataOnly="0" labelOnly="1" outline="0" axis="axisValues" fieldPosition="0"/>
    </format>
    <format dxfId="964">
      <pivotArea grandRow="1" outline="0" collapsedLevelsAreSubtotals="1" fieldPosition="0"/>
    </format>
    <format dxfId="963">
      <pivotArea dataOnly="0" labelOnly="1" grandRow="1" outline="0" fieldPosition="0"/>
    </format>
    <format dxfId="962">
      <pivotArea outline="0" collapsedLevelsAreSubtotals="1" fieldPosition="0"/>
    </format>
    <format dxfId="961">
      <pivotArea field="2" type="button" dataOnly="0" labelOnly="1" outline="0"/>
    </format>
    <format dxfId="960">
      <pivotArea collapsedLevelsAreSubtotals="1" fieldPosition="0">
        <references count="1">
          <reference field="3" count="0"/>
        </references>
      </pivotArea>
    </format>
    <format dxfId="959">
      <pivotArea dataOnly="0" labelOnly="1" fieldPosition="0">
        <references count="1">
          <reference field="3" count="0"/>
        </references>
      </pivotArea>
    </format>
    <format dxfId="958">
      <pivotArea field="3" type="button" dataOnly="0" labelOnly="1" outline="0" axis="axisRow" fieldPosition="0"/>
    </format>
    <format dxfId="957">
      <pivotArea field="3" type="button" dataOnly="0" labelOnly="1" outline="0" axis="axisRow" fieldPosition="0"/>
    </format>
    <format dxfId="956">
      <pivotArea dataOnly="0" labelOnly="1" outline="0" axis="axisValues" fieldPosition="0"/>
    </format>
    <format dxfId="955">
      <pivotArea grandRow="1" outline="0" collapsedLevelsAreSubtotals="1" fieldPosition="0"/>
    </format>
    <format dxfId="954">
      <pivotArea dataOnly="0" labelOnly="1" grandRow="1" outline="0" fieldPosition="0"/>
    </format>
  </formats>
  <chartFormats count="3">
    <chartFormat chart="37" format="6" series="1">
      <pivotArea type="data" outline="0" fieldPosition="0">
        <references count="1">
          <reference field="4294967294" count="1" selected="0">
            <x v="0"/>
          </reference>
        </references>
      </pivotArea>
    </chartFormat>
    <chartFormat chart="37" format="7">
      <pivotArea type="data" outline="0" fieldPosition="0">
        <references count="2">
          <reference field="4294967294" count="1" selected="0">
            <x v="0"/>
          </reference>
          <reference field="3" count="1" selected="0">
            <x v="0"/>
          </reference>
        </references>
      </pivotArea>
    </chartFormat>
    <chartFormat chart="37" format="8">
      <pivotArea type="data" outline="0" fieldPosition="0">
        <references count="2">
          <reference field="4294967294" count="1" selected="0">
            <x v="0"/>
          </reference>
          <reference field="3" count="1" selected="0">
            <x v="1"/>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atient attend Status"/>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c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6A9F18-C279-4FAF-9894-3785628C8160}" name="PivotTable6" cacheId="159" applyNumberFormats="0" applyBorderFormats="0" applyFontFormats="0" applyPatternFormats="0" applyAlignmentFormats="0" applyWidthHeightFormats="1" dataCaption="Values" tag="8539ae5b-42cf-4c82-ab44-cac5e2ac83af" updatedVersion="8" minRefreshableVersion="3" useAutoFormatting="1" subtotalHiddenItems="1" itemPrintTitles="1" createdVersion="5" indent="0" outline="1" outlineData="1" multipleFieldFilters="0" chartFormat="29" rowHeaderCaption="Row Levels">
  <location ref="D7:E38" firstHeaderRow="1" firstDataRow="1" firstDataCol="1"/>
  <pivotFields count="4">
    <pivotField dataField="1" subtotalTop="0" showAll="0" defaultSubtotal="0"/>
    <pivotField axis="axisRow" allDrilled="1" subtotalTop="0" showAll="0" dataSourceSort="1" defaultAttributeDrillState="1">
      <items count="366">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t="default"/>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3">
    <format dxfId="978">
      <pivotArea field="1" type="button" dataOnly="0" labelOnly="1" outline="0" axis="axisRow" fieldPosition="0"/>
    </format>
    <format dxfId="977">
      <pivotArea grandRow="1" outline="0" collapsedLevelsAreSubtotals="1" fieldPosition="0"/>
    </format>
    <format dxfId="976">
      <pivotArea dataOnly="0" labelOnly="1" grandRow="1" outline="0" fieldPosition="0"/>
    </format>
    <format dxfId="975">
      <pivotArea field="1" type="button" dataOnly="0" labelOnly="1" outline="0" axis="axisRow" fieldPosition="0"/>
    </format>
    <format dxfId="974">
      <pivotArea dataOnly="0" labelOnly="1" outline="0" axis="axisValues" fieldPosition="0"/>
    </format>
    <format dxfId="973">
      <pivotArea collapsedLevelsAreSubtotals="1" fieldPosition="0">
        <references count="1">
          <reference field="1" count="30">
            <x v="244"/>
            <x v="245"/>
            <x v="246"/>
            <x v="247"/>
            <x v="248"/>
            <x v="249"/>
            <x v="250"/>
            <x v="251"/>
            <x v="252"/>
            <x v="253"/>
            <x v="254"/>
            <x v="255"/>
            <x v="256"/>
            <x v="257"/>
            <x v="258"/>
            <x v="259"/>
            <x v="260"/>
            <x v="261"/>
            <x v="262"/>
            <x v="263"/>
            <x v="264"/>
            <x v="265"/>
            <x v="266"/>
            <x v="267"/>
            <x v="268"/>
            <x v="269"/>
            <x v="270"/>
            <x v="271"/>
            <x v="272"/>
            <x v="273"/>
          </reference>
        </references>
      </pivotArea>
    </format>
    <format dxfId="972">
      <pivotArea dataOnly="0" labelOnly="1" fieldPosition="0">
        <references count="1">
          <reference field="1" count="30">
            <x v="244"/>
            <x v="245"/>
            <x v="246"/>
            <x v="247"/>
            <x v="248"/>
            <x v="249"/>
            <x v="250"/>
            <x v="251"/>
            <x v="252"/>
            <x v="253"/>
            <x v="254"/>
            <x v="255"/>
            <x v="256"/>
            <x v="257"/>
            <x v="258"/>
            <x v="259"/>
            <x v="260"/>
            <x v="261"/>
            <x v="262"/>
            <x v="263"/>
            <x v="264"/>
            <x v="265"/>
            <x v="266"/>
            <x v="267"/>
            <x v="268"/>
            <x v="269"/>
            <x v="270"/>
            <x v="271"/>
            <x v="272"/>
            <x v="273"/>
          </reference>
        </references>
      </pivotArea>
    </format>
    <format dxfId="971">
      <pivotArea type="all" dataOnly="0" outline="0" fieldPosition="0"/>
    </format>
    <format dxfId="970">
      <pivotArea outline="0" collapsedLevelsAreSubtotals="1" fieldPosition="0"/>
    </format>
    <format dxfId="969">
      <pivotArea field="1" type="button" dataOnly="0" labelOnly="1" outline="0" axis="axisRow" fieldPosition="0"/>
    </format>
    <format dxfId="968">
      <pivotArea dataOnly="0" labelOnly="1" fieldPosition="0">
        <references count="1">
          <reference field="1" count="30">
            <x v="244"/>
            <x v="245"/>
            <x v="246"/>
            <x v="247"/>
            <x v="248"/>
            <x v="249"/>
            <x v="250"/>
            <x v="251"/>
            <x v="252"/>
            <x v="253"/>
            <x v="254"/>
            <x v="255"/>
            <x v="256"/>
            <x v="257"/>
            <x v="258"/>
            <x v="259"/>
            <x v="260"/>
            <x v="261"/>
            <x v="262"/>
            <x v="263"/>
            <x v="264"/>
            <x v="265"/>
            <x v="266"/>
            <x v="267"/>
            <x v="268"/>
            <x v="269"/>
            <x v="270"/>
            <x v="271"/>
            <x v="272"/>
            <x v="273"/>
          </reference>
        </references>
      </pivotArea>
    </format>
    <format dxfId="967">
      <pivotArea dataOnly="0" labelOnly="1" grandRow="1" outline="0" fieldPosition="0"/>
    </format>
    <format dxfId="966">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6" format="1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457503-1B98-4438-B8C7-FF96B46A74DD}" name="PivotTable12" cacheId="174" applyNumberFormats="0" applyBorderFormats="0" applyFontFormats="0" applyPatternFormats="0" applyAlignmentFormats="0" applyWidthHeightFormats="1" dataCaption="Values" tag="c8c26329-391b-41c9-bcaa-d5ca690bfdeb" updatedVersion="8" minRefreshableVersion="3" useAutoFormatting="1" subtotalHiddenItems="1" itemPrintTitles="1" createdVersion="5" indent="0" outline="1" outlineData="1" multipleFieldFilters="0" chartFormat="39" rowHeaderCaption="Row Levels">
  <location ref="M7:N37" firstHeaderRow="1" firstDataRow="1" firstDataCol="1"/>
  <pivotFields count="4">
    <pivotField axis="axisRow" allDrilled="1" subtotalTop="0" showAll="0" defaultAttributeDrillState="1">
      <items count="364">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62"/>
        <item s="1" x="328"/>
        <item s="1" x="329"/>
        <item s="1" x="330"/>
        <item s="1" x="0"/>
        <item s="1" x="1"/>
        <item s="1" x="2"/>
        <item s="1" x="3"/>
        <item s="1" x="4"/>
        <item s="1" x="5"/>
        <item s="1" x="6"/>
        <item s="1" x="7"/>
        <item s="1" x="8"/>
        <item s="1" x="9"/>
        <item s="1" x="10"/>
        <item s="1" x="11"/>
        <item s="1" x="12"/>
        <item s="1" x="13"/>
        <item s="1" x="14"/>
        <item s="1" x="15"/>
        <item s="1" x="16"/>
        <item s="1" x="17"/>
        <item s="1" x="18"/>
        <item s="1" x="19"/>
        <item s="1" x="20"/>
        <item s="1" x="151"/>
        <item s="1" x="21"/>
        <item s="1" x="22"/>
        <item s="1" x="23"/>
        <item s="1" x="24"/>
        <item s="1" x="25"/>
        <item s="1" x="26"/>
        <item s="1" x="27"/>
        <item s="1" x="28"/>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t="default"/>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v="212"/>
    </i>
    <i>
      <x v="213"/>
    </i>
    <i>
      <x v="214"/>
    </i>
    <i>
      <x v="215"/>
    </i>
    <i>
      <x v="216"/>
    </i>
    <i>
      <x v="217"/>
    </i>
    <i>
      <x v="218"/>
    </i>
    <i>
      <x v="219"/>
    </i>
    <i>
      <x v="220"/>
    </i>
    <i>
      <x v="221"/>
    </i>
    <i>
      <x v="222"/>
    </i>
    <i>
      <x v="223"/>
    </i>
    <i>
      <x v="224"/>
    </i>
    <i>
      <x v="225"/>
    </i>
    <i>
      <x v="226"/>
    </i>
    <i>
      <x v="227"/>
    </i>
    <i>
      <x v="228"/>
    </i>
    <i>
      <x v="229"/>
    </i>
    <i>
      <x v="230"/>
    </i>
    <i>
      <x v="231"/>
    </i>
    <i>
      <x v="232"/>
    </i>
    <i>
      <x v="234"/>
    </i>
    <i>
      <x v="235"/>
    </i>
    <i>
      <x v="236"/>
    </i>
    <i>
      <x v="237"/>
    </i>
    <i>
      <x v="238"/>
    </i>
    <i>
      <x v="239"/>
    </i>
    <i>
      <x v="240"/>
    </i>
    <i>
      <x v="241"/>
    </i>
    <i t="grand">
      <x/>
    </i>
  </rowItems>
  <colItems count="1">
    <i/>
  </colItems>
  <dataFields count="1">
    <dataField name="Average of Patient Satisfaction Score" fld="2" subtotal="average" baseField="0" baseItem="0" numFmtId="2"/>
  </dataFields>
  <formats count="5">
    <format dxfId="983">
      <pivotArea field="0" type="button" dataOnly="0" labelOnly="1" outline="0" axis="axisRow" fieldPosition="0"/>
    </format>
    <format dxfId="982">
      <pivotArea outline="0" collapsedLevelsAreSubtotals="1" fieldPosition="0"/>
    </format>
    <format dxfId="981">
      <pivotArea outline="0" collapsedLevelsAreSubtotals="1" fieldPosition="0"/>
    </format>
    <format dxfId="980">
      <pivotArea field="0" type="button" dataOnly="0" labelOnly="1" outline="0" axis="axisRow" fieldPosition="0"/>
    </format>
    <format dxfId="979">
      <pivotArea dataOnly="0" labelOnly="1" outline="0" axis="axisValues" fieldPosition="0"/>
    </format>
  </formats>
  <chartFormats count="3">
    <chartFormat chart="31"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Sep]"/>
      </members>
    </pivotHierarchy>
    <pivotHierarchy dragToData="1">
      <members count="365" level="1">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Date (Day)].&amp;[7-Dec]"/>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
        <member name="[Calender_Table].[Date (Day)].&amp;[31-Dec]"/>
        <member name=""/>
        <member name=""/>
        <member name=""/>
        <member name=""/>
        <member name=""/>
      </members>
    </pivotHierarchy>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013653-A8D1-4ADC-B7CD-0CB06992F082}" name="PivotTable2" cacheId="165" applyNumberFormats="0" applyBorderFormats="0" applyFontFormats="0" applyPatternFormats="0" applyAlignmentFormats="0" applyWidthHeightFormats="1" dataCaption="Values" tag="8d6edd67-2e09-4f57-9b08-38ab38193ae2" updatedVersion="8" minRefreshableVersion="3" useAutoFormatting="1"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6">
    <format dxfId="989">
      <pivotArea outline="0" collapsedLevelsAreSubtotals="1" fieldPosition="0"/>
    </format>
    <format dxfId="988">
      <pivotArea dataOnly="0" labelOnly="1" outline="0" axis="axisValues" fieldPosition="0"/>
    </format>
    <format dxfId="987">
      <pivotArea outline="0" collapsedLevelsAreSubtotals="1" fieldPosition="0"/>
    </format>
    <format dxfId="986">
      <pivotArea type="all" dataOnly="0" outline="0" fieldPosition="0"/>
    </format>
    <format dxfId="985">
      <pivotArea outline="0" collapsedLevelsAreSubtotals="1" fieldPosition="0"/>
    </format>
    <format dxfId="984">
      <pivotArea dataOnly="0" labelOnly="1" outline="0" axis="axisValues"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2ECDDF-E403-4D7B-8C1C-481CAEC00E1F}" name="PivotTable1" cacheId="162" applyNumberFormats="0" applyBorderFormats="0" applyFontFormats="0" applyPatternFormats="0" applyAlignmentFormats="0" applyWidthHeightFormats="1" dataCaption="Values" tag="ee68374e-e4e1-4e06-b118-6aee8ca47a21" updatedVersion="8" minRefreshableVersion="3" useAutoFormatting="1"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6">
    <format dxfId="995">
      <pivotArea dataOnly="0" labelOnly="1" outline="0" axis="axisValues" fieldPosition="0"/>
    </format>
    <format dxfId="994">
      <pivotArea dataOnly="0" labelOnly="1" outline="0" axis="axisValues" fieldPosition="0"/>
    </format>
    <format dxfId="993">
      <pivotArea outline="0" collapsedLevelsAreSubtotals="1" fieldPosition="0"/>
    </format>
    <format dxfId="992">
      <pivotArea type="all" dataOnly="0" outline="0" fieldPosition="0"/>
    </format>
    <format dxfId="991">
      <pivotArea outline="0" collapsedLevelsAreSubtotals="1" fieldPosition="0"/>
    </format>
    <format dxfId="990">
      <pivotArea dataOnly="0" labelOnly="1" outline="0" axis="axisValues" fieldPosition="0"/>
    </format>
  </formats>
  <pivotHierarchies count="34">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B68BFD31-E327-4831-BD00-76A31F2951B2}" sourceName="[Calender_Table].[Date (Month)]">
  <pivotTables>
    <pivotTable tabId="1" name="PivotTable6"/>
    <pivotTable tabId="1" name="PivotTable1"/>
    <pivotTable tabId="1" name="PivotTable2"/>
    <pivotTable tabId="1" name="PivotTable3"/>
    <pivotTable tabId="1" name="PivotTable10"/>
    <pivotTable tabId="1" name="PivotTable12"/>
    <pivotTable tabId="1" name="PivotTable14"/>
    <pivotTable tabId="1" name="PivotTable16"/>
    <pivotTable tabId="1" name="PivotTable20"/>
    <pivotTable tabId="1" name="PivotTable22"/>
    <pivotTable tabId="1" name="PivotTable24"/>
    <pivotTable tabId="1" name="PivotTable26"/>
  </pivotTables>
  <data>
    <olap pivotCacheId="828841599">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B72A6EB-E594-40C7-8CBA-7146B3132DC3}" sourceName="[Calender_Table].[Date (Year)]">
  <pivotTables>
    <pivotTable tabId="1" name="PivotTable26"/>
    <pivotTable tabId="1" name="PivotTable1"/>
    <pivotTable tabId="1" name="PivotTable10"/>
    <pivotTable tabId="1" name="PivotTable12"/>
    <pivotTable tabId="1" name="PivotTable14"/>
    <pivotTable tabId="1" name="PivotTable16"/>
    <pivotTable tabId="1" name="PivotTable2"/>
    <pivotTable tabId="1" name="PivotTable20"/>
    <pivotTable tabId="1" name="PivotTable22"/>
    <pivotTable tabId="1" name="PivotTable24"/>
    <pivotTable tabId="1" name="PivotTable3"/>
    <pivotTable tabId="1" name="PivotTable6"/>
  </pivotTables>
  <data>
    <olap pivotCacheId="828841599">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337993B-66BF-4D25-B3E9-969D873B5CA6}" cache="Slicer_Date__Month" caption="Date (Month)" showCaption="0" level="1" style="My Style" rowHeight="201600"/>
  <slicer name="Date (Year)" xr10:uid="{C7D004E4-14EE-431E-895D-E981A1FE59FB}"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D07D-E5EF-4BE8-8F6A-4A99ED93DBBF}">
  <dimension ref="A1:N101"/>
  <sheetViews>
    <sheetView topLeftCell="A43" workbookViewId="0">
      <selection activeCell="E55" sqref="E55"/>
    </sheetView>
  </sheetViews>
  <sheetFormatPr defaultRowHeight="14.4" x14ac:dyDescent="0.3"/>
  <cols>
    <col min="1" max="1" width="40.44140625" bestFit="1" customWidth="1"/>
    <col min="2" max="2" width="35.44140625" customWidth="1"/>
    <col min="3" max="3" width="25.88671875" customWidth="1"/>
    <col min="4" max="4" width="14.44140625" bestFit="1" customWidth="1"/>
    <col min="5" max="5" width="26.21875" bestFit="1" customWidth="1"/>
    <col min="8" max="8" width="13.33203125" bestFit="1" customWidth="1"/>
    <col min="9" max="9" width="29.21875" bestFit="1" customWidth="1"/>
    <col min="13" max="13" width="13.33203125" bestFit="1" customWidth="1"/>
    <col min="14" max="14" width="35.44140625" bestFit="1" customWidth="1"/>
  </cols>
  <sheetData>
    <row r="1" spans="1:14" s="39" customFormat="1" ht="49.8" customHeight="1" x14ac:dyDescent="0.3">
      <c r="A1" s="47" t="s">
        <v>47</v>
      </c>
      <c r="B1" s="47"/>
      <c r="C1" s="47"/>
      <c r="D1" s="47"/>
      <c r="E1" s="47"/>
      <c r="F1" s="47"/>
      <c r="G1" s="47"/>
      <c r="H1" s="47"/>
    </row>
    <row r="2" spans="1:14" s="39" customFormat="1" ht="25.2" customHeight="1" x14ac:dyDescent="0.3">
      <c r="A2" s="47"/>
      <c r="B2" s="47"/>
      <c r="C2" s="47"/>
      <c r="D2" s="47"/>
      <c r="E2" s="47"/>
      <c r="F2" s="47"/>
      <c r="G2" s="47"/>
      <c r="H2" s="47"/>
    </row>
    <row r="3" spans="1:14" s="39" customFormat="1" x14ac:dyDescent="0.3"/>
    <row r="4" spans="1:14" s="39" customFormat="1" ht="21" x14ac:dyDescent="0.3">
      <c r="D4" s="38"/>
      <c r="E4" s="38"/>
    </row>
    <row r="5" spans="1:14" ht="21" customHeight="1" x14ac:dyDescent="0.3"/>
    <row r="6" spans="1:14" ht="21.6" thickBot="1" x14ac:dyDescent="0.45">
      <c r="A6" s="20" t="s">
        <v>3</v>
      </c>
      <c r="C6" s="5"/>
      <c r="D6" s="44" t="s">
        <v>22</v>
      </c>
      <c r="E6" s="44"/>
      <c r="H6" s="44" t="s">
        <v>23</v>
      </c>
      <c r="I6" s="44"/>
      <c r="M6" s="44" t="s">
        <v>25</v>
      </c>
      <c r="N6" s="44"/>
    </row>
    <row r="7" spans="1:14" ht="18.600000000000001" thickBot="1" x14ac:dyDescent="0.4">
      <c r="A7" s="41" t="s">
        <v>2</v>
      </c>
      <c r="D7" s="50" t="s">
        <v>21</v>
      </c>
      <c r="E7" s="51" t="s">
        <v>2</v>
      </c>
      <c r="F7" s="31"/>
      <c r="G7" s="31"/>
      <c r="H7" s="34" t="s">
        <v>21</v>
      </c>
      <c r="I7" s="35" t="s">
        <v>24</v>
      </c>
      <c r="M7" s="32" t="s">
        <v>21</v>
      </c>
      <c r="N7" s="33" t="s">
        <v>19</v>
      </c>
    </row>
    <row r="8" spans="1:14" ht="18.600000000000001" thickBot="1" x14ac:dyDescent="0.4">
      <c r="A8" s="48">
        <v>466</v>
      </c>
      <c r="D8" s="52" t="s">
        <v>49</v>
      </c>
      <c r="E8" s="53">
        <v>23</v>
      </c>
      <c r="H8" s="36" t="s">
        <v>49</v>
      </c>
      <c r="I8" s="37">
        <v>39.304347826086953</v>
      </c>
      <c r="M8" s="1" t="s">
        <v>49</v>
      </c>
      <c r="N8" s="7">
        <v>4.2857142857142856</v>
      </c>
    </row>
    <row r="9" spans="1:14" ht="15.6" x14ac:dyDescent="0.3">
      <c r="D9" s="52" t="s">
        <v>50</v>
      </c>
      <c r="E9" s="53">
        <v>17</v>
      </c>
      <c r="H9" s="36" t="s">
        <v>50</v>
      </c>
      <c r="I9" s="37">
        <v>36.941176470588232</v>
      </c>
      <c r="M9" s="1" t="s">
        <v>50</v>
      </c>
      <c r="N9" s="7">
        <v>2.6666666666666665</v>
      </c>
    </row>
    <row r="10" spans="1:14" ht="15.6" x14ac:dyDescent="0.3">
      <c r="D10" s="52" t="s">
        <v>51</v>
      </c>
      <c r="E10" s="53">
        <v>20</v>
      </c>
      <c r="H10" s="36" t="s">
        <v>51</v>
      </c>
      <c r="I10" s="37">
        <v>35.549999999999997</v>
      </c>
      <c r="M10" s="1" t="s">
        <v>51</v>
      </c>
      <c r="N10" s="7">
        <v>3.8571428571428572</v>
      </c>
    </row>
    <row r="11" spans="1:14" ht="15.6" x14ac:dyDescent="0.3">
      <c r="D11" s="52" t="s">
        <v>52</v>
      </c>
      <c r="E11" s="53">
        <v>16</v>
      </c>
      <c r="H11" s="36" t="s">
        <v>52</v>
      </c>
      <c r="I11" s="37">
        <v>32</v>
      </c>
      <c r="M11" s="1" t="s">
        <v>52</v>
      </c>
      <c r="N11" s="7">
        <v>5.6</v>
      </c>
    </row>
    <row r="12" spans="1:14" ht="15.6" x14ac:dyDescent="0.3">
      <c r="D12" s="52" t="s">
        <v>53</v>
      </c>
      <c r="E12" s="53">
        <v>11</v>
      </c>
      <c r="H12" s="36" t="s">
        <v>53</v>
      </c>
      <c r="I12" s="37">
        <v>43.81818181818182</v>
      </c>
      <c r="M12" s="1" t="s">
        <v>53</v>
      </c>
      <c r="N12" s="7">
        <v>7</v>
      </c>
    </row>
    <row r="13" spans="1:14" ht="16.2" thickBot="1" x14ac:dyDescent="0.35">
      <c r="D13" s="52" t="s">
        <v>54</v>
      </c>
      <c r="E13" s="53">
        <v>17</v>
      </c>
      <c r="H13" s="36" t="s">
        <v>54</v>
      </c>
      <c r="I13" s="37">
        <v>37.823529411764703</v>
      </c>
      <c r="M13" s="1" t="s">
        <v>54</v>
      </c>
      <c r="N13" s="7">
        <v>4</v>
      </c>
    </row>
    <row r="14" spans="1:14" ht="18.600000000000001" thickBot="1" x14ac:dyDescent="0.4">
      <c r="A14" s="40" t="s">
        <v>18</v>
      </c>
      <c r="D14" s="52" t="s">
        <v>55</v>
      </c>
      <c r="E14" s="53">
        <v>15</v>
      </c>
      <c r="H14" s="36" t="s">
        <v>55</v>
      </c>
      <c r="I14" s="37">
        <v>37.533333333333331</v>
      </c>
      <c r="M14" s="1" t="s">
        <v>55</v>
      </c>
      <c r="N14" s="7">
        <v>3.2</v>
      </c>
    </row>
    <row r="15" spans="1:14" ht="18.600000000000001" thickBot="1" x14ac:dyDescent="0.4">
      <c r="A15" s="42">
        <v>35.06008583690987</v>
      </c>
      <c r="D15" s="52" t="s">
        <v>56</v>
      </c>
      <c r="E15" s="53">
        <v>17</v>
      </c>
      <c r="H15" s="36" t="s">
        <v>56</v>
      </c>
      <c r="I15" s="37">
        <v>31.588235294117649</v>
      </c>
      <c r="M15" s="1" t="s">
        <v>56</v>
      </c>
      <c r="N15" s="7">
        <v>5.5</v>
      </c>
    </row>
    <row r="16" spans="1:14" ht="15.6" x14ac:dyDescent="0.3">
      <c r="D16" s="52" t="s">
        <v>57</v>
      </c>
      <c r="E16" s="53">
        <v>17</v>
      </c>
      <c r="H16" s="36" t="s">
        <v>57</v>
      </c>
      <c r="I16" s="37">
        <v>32.647058823529413</v>
      </c>
      <c r="M16" s="1" t="s">
        <v>57</v>
      </c>
      <c r="N16" s="7">
        <v>5</v>
      </c>
    </row>
    <row r="17" spans="1:14" ht="15.6" x14ac:dyDescent="0.3">
      <c r="D17" s="52" t="s">
        <v>58</v>
      </c>
      <c r="E17" s="53">
        <v>13</v>
      </c>
      <c r="H17" s="36" t="s">
        <v>58</v>
      </c>
      <c r="I17" s="37">
        <v>34.846153846153847</v>
      </c>
      <c r="M17" s="1" t="s">
        <v>58</v>
      </c>
      <c r="N17" s="7">
        <v>7</v>
      </c>
    </row>
    <row r="18" spans="1:14" ht="15.6" x14ac:dyDescent="0.3">
      <c r="D18" s="52" t="s">
        <v>59</v>
      </c>
      <c r="E18" s="53">
        <v>12</v>
      </c>
      <c r="H18" s="36" t="s">
        <v>59</v>
      </c>
      <c r="I18" s="37">
        <v>36.666666666666664</v>
      </c>
      <c r="M18" s="1" t="s">
        <v>59</v>
      </c>
      <c r="N18" s="7">
        <v>6</v>
      </c>
    </row>
    <row r="19" spans="1:14" ht="15.6" x14ac:dyDescent="0.3">
      <c r="D19" s="52" t="s">
        <v>60</v>
      </c>
      <c r="E19" s="53">
        <v>19</v>
      </c>
      <c r="H19" s="36" t="s">
        <v>60</v>
      </c>
      <c r="I19" s="37">
        <v>31.94736842105263</v>
      </c>
      <c r="M19" s="1" t="s">
        <v>60</v>
      </c>
      <c r="N19" s="7">
        <v>6.5</v>
      </c>
    </row>
    <row r="20" spans="1:14" ht="16.2" thickBot="1" x14ac:dyDescent="0.35">
      <c r="D20" s="52" t="s">
        <v>61</v>
      </c>
      <c r="E20" s="53">
        <v>12</v>
      </c>
      <c r="H20" s="36" t="s">
        <v>61</v>
      </c>
      <c r="I20" s="37">
        <v>37.416666666666664</v>
      </c>
      <c r="M20" s="1" t="s">
        <v>61</v>
      </c>
      <c r="N20" s="7">
        <v>3.5</v>
      </c>
    </row>
    <row r="21" spans="1:14" ht="18.600000000000001" thickBot="1" x14ac:dyDescent="0.4">
      <c r="A21" s="40" t="s">
        <v>20</v>
      </c>
      <c r="D21" s="52" t="s">
        <v>62</v>
      </c>
      <c r="E21" s="53">
        <v>15</v>
      </c>
      <c r="H21" s="36" t="s">
        <v>62</v>
      </c>
      <c r="I21" s="37">
        <v>33.4</v>
      </c>
      <c r="M21" s="1" t="s">
        <v>62</v>
      </c>
      <c r="N21" s="7">
        <v>5.4</v>
      </c>
    </row>
    <row r="22" spans="1:14" ht="16.2" thickBot="1" x14ac:dyDescent="0.35">
      <c r="A22" s="43">
        <v>4.9083333333333332</v>
      </c>
      <c r="D22" s="52" t="s">
        <v>63</v>
      </c>
      <c r="E22" s="53">
        <v>18</v>
      </c>
      <c r="H22" s="36" t="s">
        <v>63</v>
      </c>
      <c r="I22" s="37">
        <v>37.944444444444443</v>
      </c>
      <c r="M22" s="1" t="s">
        <v>63</v>
      </c>
      <c r="N22" s="7">
        <v>5</v>
      </c>
    </row>
    <row r="23" spans="1:14" ht="15.6" x14ac:dyDescent="0.3">
      <c r="D23" s="52" t="s">
        <v>64</v>
      </c>
      <c r="E23" s="53">
        <v>13</v>
      </c>
      <c r="H23" s="36" t="s">
        <v>64</v>
      </c>
      <c r="I23" s="37">
        <v>32.769230769230766</v>
      </c>
      <c r="M23" s="1" t="s">
        <v>64</v>
      </c>
      <c r="N23" s="7">
        <v>4.4000000000000004</v>
      </c>
    </row>
    <row r="24" spans="1:14" ht="15.6" x14ac:dyDescent="0.3">
      <c r="D24" s="52" t="s">
        <v>65</v>
      </c>
      <c r="E24" s="53">
        <v>22</v>
      </c>
      <c r="H24" s="36" t="s">
        <v>65</v>
      </c>
      <c r="I24" s="37">
        <v>31.863636363636363</v>
      </c>
      <c r="M24" s="1" t="s">
        <v>65</v>
      </c>
      <c r="N24" s="7">
        <v>6.75</v>
      </c>
    </row>
    <row r="25" spans="1:14" ht="15.6" x14ac:dyDescent="0.3">
      <c r="D25" s="52" t="s">
        <v>66</v>
      </c>
      <c r="E25" s="53">
        <v>16</v>
      </c>
      <c r="H25" s="36" t="s">
        <v>66</v>
      </c>
      <c r="I25" s="37">
        <v>37.8125</v>
      </c>
      <c r="M25" s="1" t="s">
        <v>66</v>
      </c>
      <c r="N25" s="7">
        <v>7</v>
      </c>
    </row>
    <row r="26" spans="1:14" ht="15.6" x14ac:dyDescent="0.3">
      <c r="D26" s="52" t="s">
        <v>67</v>
      </c>
      <c r="E26" s="53">
        <v>13</v>
      </c>
      <c r="H26" s="36" t="s">
        <v>67</v>
      </c>
      <c r="I26" s="37">
        <v>28.46153846153846</v>
      </c>
      <c r="M26" s="1" t="s">
        <v>67</v>
      </c>
      <c r="N26" s="7">
        <v>4.666666666666667</v>
      </c>
    </row>
    <row r="27" spans="1:14" ht="15.6" x14ac:dyDescent="0.3">
      <c r="D27" s="52" t="s">
        <v>68</v>
      </c>
      <c r="E27" s="53">
        <v>14</v>
      </c>
      <c r="H27" s="36" t="s">
        <v>68</v>
      </c>
      <c r="I27" s="37">
        <v>33.571428571428569</v>
      </c>
      <c r="M27" s="1" t="s">
        <v>68</v>
      </c>
      <c r="N27" s="7">
        <v>3</v>
      </c>
    </row>
    <row r="28" spans="1:14" ht="15.6" x14ac:dyDescent="0.3">
      <c r="D28" s="52" t="s">
        <v>69</v>
      </c>
      <c r="E28" s="53">
        <v>21</v>
      </c>
      <c r="H28" s="36" t="s">
        <v>69</v>
      </c>
      <c r="I28" s="37">
        <v>35.666666666666664</v>
      </c>
      <c r="M28" s="1" t="s">
        <v>69</v>
      </c>
      <c r="N28" s="7">
        <v>3.4285714285714284</v>
      </c>
    </row>
    <row r="29" spans="1:14" ht="15.6" x14ac:dyDescent="0.3">
      <c r="D29" s="52" t="s">
        <v>70</v>
      </c>
      <c r="E29" s="53">
        <v>9</v>
      </c>
      <c r="H29" s="36" t="s">
        <v>70</v>
      </c>
      <c r="I29" s="37">
        <v>27</v>
      </c>
      <c r="M29" s="1" t="s">
        <v>71</v>
      </c>
      <c r="N29" s="7">
        <v>2.3333333333333335</v>
      </c>
    </row>
    <row r="30" spans="1:14" ht="15.6" x14ac:dyDescent="0.3">
      <c r="D30" s="52" t="s">
        <v>71</v>
      </c>
      <c r="E30" s="53">
        <v>10</v>
      </c>
      <c r="H30" s="36" t="s">
        <v>71</v>
      </c>
      <c r="I30" s="37">
        <v>42.4</v>
      </c>
      <c r="M30" s="1" t="s">
        <v>72</v>
      </c>
      <c r="N30" s="7">
        <v>6</v>
      </c>
    </row>
    <row r="31" spans="1:14" ht="15.6" x14ac:dyDescent="0.3">
      <c r="D31" s="52" t="s">
        <v>72</v>
      </c>
      <c r="E31" s="53">
        <v>15</v>
      </c>
      <c r="H31" s="36" t="s">
        <v>72</v>
      </c>
      <c r="I31" s="37">
        <v>37.333333333333336</v>
      </c>
      <c r="M31" s="1" t="s">
        <v>73</v>
      </c>
      <c r="N31" s="7">
        <v>5.8</v>
      </c>
    </row>
    <row r="32" spans="1:14" ht="15.6" x14ac:dyDescent="0.3">
      <c r="D32" s="52" t="s">
        <v>73</v>
      </c>
      <c r="E32" s="53">
        <v>15</v>
      </c>
      <c r="H32" s="36" t="s">
        <v>73</v>
      </c>
      <c r="I32" s="37">
        <v>34.266666666666666</v>
      </c>
      <c r="M32" s="1" t="s">
        <v>74</v>
      </c>
      <c r="N32" s="7">
        <v>5</v>
      </c>
    </row>
    <row r="33" spans="1:14" ht="15.6" x14ac:dyDescent="0.3">
      <c r="D33" s="52" t="s">
        <v>74</v>
      </c>
      <c r="E33" s="53">
        <v>13</v>
      </c>
      <c r="H33" s="36" t="s">
        <v>74</v>
      </c>
      <c r="I33" s="37">
        <v>34.92307692307692</v>
      </c>
      <c r="M33" s="1" t="s">
        <v>75</v>
      </c>
      <c r="N33" s="7">
        <v>2</v>
      </c>
    </row>
    <row r="34" spans="1:14" ht="15.6" x14ac:dyDescent="0.3">
      <c r="D34" s="52" t="s">
        <v>75</v>
      </c>
      <c r="E34" s="53">
        <v>12</v>
      </c>
      <c r="H34" s="36" t="s">
        <v>75</v>
      </c>
      <c r="I34" s="37">
        <v>33.166666666666664</v>
      </c>
      <c r="M34" s="1" t="s">
        <v>76</v>
      </c>
      <c r="N34" s="7">
        <v>3</v>
      </c>
    </row>
    <row r="35" spans="1:14" ht="15.6" x14ac:dyDescent="0.3">
      <c r="D35" s="52" t="s">
        <v>76</v>
      </c>
      <c r="E35" s="53">
        <v>17</v>
      </c>
      <c r="H35" s="36" t="s">
        <v>76</v>
      </c>
      <c r="I35" s="37">
        <v>32.588235294117645</v>
      </c>
      <c r="M35" s="1" t="s">
        <v>77</v>
      </c>
      <c r="N35" s="7">
        <v>8.5</v>
      </c>
    </row>
    <row r="36" spans="1:14" ht="15.6" x14ac:dyDescent="0.3">
      <c r="D36" s="52" t="s">
        <v>77</v>
      </c>
      <c r="E36" s="53">
        <v>17</v>
      </c>
      <c r="H36" s="36" t="s">
        <v>77</v>
      </c>
      <c r="I36" s="37">
        <v>33.294117647058826</v>
      </c>
      <c r="M36" s="1" t="s">
        <v>78</v>
      </c>
      <c r="N36" s="7">
        <v>5.5714285714285712</v>
      </c>
    </row>
    <row r="37" spans="1:14" ht="15.6" x14ac:dyDescent="0.3">
      <c r="D37" s="52" t="s">
        <v>78</v>
      </c>
      <c r="E37" s="53">
        <v>17</v>
      </c>
      <c r="H37" s="36" t="s">
        <v>78</v>
      </c>
      <c r="I37" s="37">
        <v>37.411764705882355</v>
      </c>
      <c r="M37" s="1" t="s">
        <v>1</v>
      </c>
      <c r="N37" s="7">
        <v>4.9083333333333332</v>
      </c>
    </row>
    <row r="38" spans="1:14" ht="19.8" x14ac:dyDescent="0.4">
      <c r="D38" s="54" t="s">
        <v>1</v>
      </c>
      <c r="E38" s="55">
        <v>466</v>
      </c>
      <c r="H38" s="1" t="s">
        <v>1</v>
      </c>
      <c r="I38" s="6">
        <v>35.06008583690987</v>
      </c>
    </row>
    <row r="39" spans="1:14" ht="19.8" x14ac:dyDescent="0.4"/>
    <row r="42" spans="1:14" ht="13.8" customHeight="1" x14ac:dyDescent="0.3"/>
    <row r="43" spans="1:14" ht="39.6" x14ac:dyDescent="0.4">
      <c r="A43" s="22" t="s">
        <v>0</v>
      </c>
      <c r="B43" s="30" t="s">
        <v>26</v>
      </c>
      <c r="C43" s="30" t="s">
        <v>27</v>
      </c>
    </row>
    <row r="44" spans="1:14" ht="18" x14ac:dyDescent="0.35">
      <c r="A44" s="14" t="s">
        <v>6</v>
      </c>
      <c r="B44" s="15">
        <v>236</v>
      </c>
      <c r="C44" s="16">
        <v>0.50643776824034337</v>
      </c>
    </row>
    <row r="45" spans="1:14" ht="18" x14ac:dyDescent="0.35">
      <c r="A45" s="14" t="s">
        <v>17</v>
      </c>
      <c r="B45" s="15">
        <v>230</v>
      </c>
      <c r="C45" s="16">
        <v>0.49356223175965663</v>
      </c>
    </row>
    <row r="46" spans="1:14" x14ac:dyDescent="0.3">
      <c r="A46" s="1" t="s">
        <v>1</v>
      </c>
      <c r="B46" s="2">
        <v>466</v>
      </c>
      <c r="C46" s="8">
        <v>1</v>
      </c>
    </row>
    <row r="51" spans="1:5" ht="19.2" customHeight="1" x14ac:dyDescent="0.4">
      <c r="A51" s="28" t="s">
        <v>28</v>
      </c>
      <c r="B51" s="28" t="s">
        <v>29</v>
      </c>
      <c r="C51" s="28" t="s">
        <v>30</v>
      </c>
      <c r="D51" s="29"/>
    </row>
    <row r="52" spans="1:5" ht="19.2" customHeight="1" x14ac:dyDescent="0.4">
      <c r="A52" s="11" t="str">
        <f>A45</f>
        <v>Not Admitted</v>
      </c>
      <c r="B52" s="10">
        <f>B45</f>
        <v>230</v>
      </c>
      <c r="C52" s="13">
        <f>C45</f>
        <v>0.49356223175965663</v>
      </c>
      <c r="D52" s="9"/>
    </row>
    <row r="53" spans="1:5" ht="26.4" customHeight="1" x14ac:dyDescent="0.4">
      <c r="A53" s="11" t="str">
        <f>A44</f>
        <v>Admitted</v>
      </c>
      <c r="B53" s="11">
        <f>B44</f>
        <v>236</v>
      </c>
      <c r="C53" s="13">
        <f>C44</f>
        <v>0.50643776824034337</v>
      </c>
      <c r="D53" s="9"/>
    </row>
    <row r="54" spans="1:5" x14ac:dyDescent="0.3">
      <c r="B54" s="12"/>
    </row>
    <row r="57" spans="1:5" ht="19.8" x14ac:dyDescent="0.4">
      <c r="A57" s="46" t="s">
        <v>46</v>
      </c>
      <c r="B57" s="46"/>
      <c r="E57" s="49"/>
    </row>
    <row r="58" spans="1:5" ht="19.8" x14ac:dyDescent="0.4">
      <c r="A58" s="22" t="s">
        <v>0</v>
      </c>
      <c r="B58" s="23" t="s">
        <v>31</v>
      </c>
    </row>
    <row r="59" spans="1:5" ht="18" x14ac:dyDescent="0.3">
      <c r="A59" s="17" t="s">
        <v>14</v>
      </c>
      <c r="B59" s="18">
        <v>58</v>
      </c>
    </row>
    <row r="60" spans="1:5" ht="18" x14ac:dyDescent="0.3">
      <c r="A60" s="17" t="s">
        <v>10</v>
      </c>
      <c r="B60" s="18">
        <v>125</v>
      </c>
    </row>
    <row r="61" spans="1:5" ht="18" x14ac:dyDescent="0.3">
      <c r="A61" s="17" t="s">
        <v>15</v>
      </c>
      <c r="B61" s="18">
        <v>64</v>
      </c>
    </row>
    <row r="62" spans="1:5" ht="18" x14ac:dyDescent="0.3">
      <c r="A62" s="17" t="s">
        <v>12</v>
      </c>
      <c r="B62" s="18">
        <v>65</v>
      </c>
    </row>
    <row r="63" spans="1:5" ht="18" x14ac:dyDescent="0.3">
      <c r="A63" s="17" t="s">
        <v>13</v>
      </c>
      <c r="B63" s="18">
        <v>52</v>
      </c>
    </row>
    <row r="64" spans="1:5" ht="18" x14ac:dyDescent="0.3">
      <c r="A64" s="17" t="s">
        <v>7</v>
      </c>
      <c r="B64" s="18">
        <v>57</v>
      </c>
    </row>
    <row r="65" spans="1:2" ht="18" x14ac:dyDescent="0.3">
      <c r="A65" s="17" t="s">
        <v>9</v>
      </c>
      <c r="B65" s="18">
        <v>45</v>
      </c>
    </row>
    <row r="66" spans="1:2" ht="19.8" x14ac:dyDescent="0.4">
      <c r="A66" s="24" t="s">
        <v>1</v>
      </c>
      <c r="B66" s="27">
        <v>466</v>
      </c>
    </row>
    <row r="70" spans="1:2" ht="21" x14ac:dyDescent="0.4">
      <c r="A70" s="44" t="s">
        <v>33</v>
      </c>
      <c r="B70" s="44"/>
    </row>
    <row r="71" spans="1:2" ht="19.8" x14ac:dyDescent="0.4">
      <c r="A71" s="25" t="s">
        <v>0</v>
      </c>
      <c r="B71" s="23" t="s">
        <v>32</v>
      </c>
    </row>
    <row r="72" spans="1:2" ht="18" x14ac:dyDescent="0.35">
      <c r="A72" s="14" t="s">
        <v>8</v>
      </c>
      <c r="B72" s="19">
        <v>278</v>
      </c>
    </row>
    <row r="73" spans="1:2" ht="18" x14ac:dyDescent="0.35">
      <c r="A73" s="14" t="s">
        <v>11</v>
      </c>
      <c r="B73" s="19">
        <v>188</v>
      </c>
    </row>
    <row r="74" spans="1:2" ht="19.8" x14ac:dyDescent="0.4">
      <c r="A74" s="24" t="s">
        <v>1</v>
      </c>
      <c r="B74" s="27">
        <v>466</v>
      </c>
    </row>
    <row r="77" spans="1:2" ht="19.2" customHeight="1" x14ac:dyDescent="0.3">
      <c r="A77" s="45" t="s">
        <v>35</v>
      </c>
      <c r="B77" s="45"/>
    </row>
    <row r="78" spans="1:2" ht="19.8" x14ac:dyDescent="0.4">
      <c r="A78" s="22" t="s">
        <v>0</v>
      </c>
      <c r="B78" s="23" t="s">
        <v>34</v>
      </c>
    </row>
    <row r="79" spans="1:2" ht="18" x14ac:dyDescent="0.35">
      <c r="A79" s="14" t="s">
        <v>16</v>
      </c>
      <c r="B79" s="19">
        <v>237</v>
      </c>
    </row>
    <row r="80" spans="1:2" ht="18" x14ac:dyDescent="0.35">
      <c r="A80" s="14" t="s">
        <v>4</v>
      </c>
      <c r="B80" s="19">
        <v>229</v>
      </c>
    </row>
    <row r="81" spans="1:2" ht="19.8" x14ac:dyDescent="0.4">
      <c r="A81" s="24" t="s">
        <v>1</v>
      </c>
      <c r="B81" s="27">
        <v>466</v>
      </c>
    </row>
    <row r="85" spans="1:2" ht="21" x14ac:dyDescent="0.4">
      <c r="A85" s="44" t="s">
        <v>45</v>
      </c>
      <c r="B85" s="44"/>
    </row>
    <row r="86" spans="1:2" ht="19.8" x14ac:dyDescent="0.4">
      <c r="A86" s="22" t="s">
        <v>0</v>
      </c>
      <c r="B86" s="23" t="s">
        <v>43</v>
      </c>
    </row>
    <row r="87" spans="1:2" ht="18" x14ac:dyDescent="0.35">
      <c r="A87" s="14" t="s">
        <v>42</v>
      </c>
      <c r="B87" s="21">
        <v>6</v>
      </c>
    </row>
    <row r="88" spans="1:2" ht="18" x14ac:dyDescent="0.35">
      <c r="A88" s="14" t="s">
        <v>36</v>
      </c>
      <c r="B88" s="21">
        <v>9</v>
      </c>
    </row>
    <row r="89" spans="1:2" ht="18" x14ac:dyDescent="0.35">
      <c r="A89" s="14" t="s">
        <v>39</v>
      </c>
      <c r="B89" s="21">
        <v>10</v>
      </c>
    </row>
    <row r="90" spans="1:2" ht="18" x14ac:dyDescent="0.35">
      <c r="A90" s="14" t="s">
        <v>37</v>
      </c>
      <c r="B90" s="21">
        <v>11</v>
      </c>
    </row>
    <row r="91" spans="1:2" ht="18" x14ac:dyDescent="0.35">
      <c r="A91" s="14" t="s">
        <v>41</v>
      </c>
      <c r="B91" s="21">
        <v>12</v>
      </c>
    </row>
    <row r="92" spans="1:2" ht="18" x14ac:dyDescent="0.35">
      <c r="A92" s="14" t="s">
        <v>40</v>
      </c>
      <c r="B92" s="21">
        <v>47</v>
      </c>
    </row>
    <row r="93" spans="1:2" ht="18" x14ac:dyDescent="0.35">
      <c r="A93" s="14" t="s">
        <v>38</v>
      </c>
      <c r="B93" s="21">
        <v>98</v>
      </c>
    </row>
    <row r="94" spans="1:2" ht="18" x14ac:dyDescent="0.35">
      <c r="A94" s="14" t="s">
        <v>5</v>
      </c>
      <c r="B94" s="21">
        <v>273</v>
      </c>
    </row>
    <row r="95" spans="1:2" ht="19.8" x14ac:dyDescent="0.4">
      <c r="A95" s="24" t="s">
        <v>1</v>
      </c>
      <c r="B95" s="27">
        <v>466</v>
      </c>
    </row>
    <row r="98" spans="1:1" ht="21" x14ac:dyDescent="0.4">
      <c r="A98" s="20" t="s">
        <v>44</v>
      </c>
    </row>
    <row r="99" spans="1:1" ht="19.8" x14ac:dyDescent="0.4">
      <c r="A99" s="25" t="s">
        <v>0</v>
      </c>
    </row>
    <row r="100" spans="1:1" ht="18" x14ac:dyDescent="0.35">
      <c r="A100" s="26" t="s">
        <v>48</v>
      </c>
    </row>
    <row r="101" spans="1:1" ht="19.8" x14ac:dyDescent="0.4">
      <c r="A101" s="24" t="s">
        <v>1</v>
      </c>
    </row>
  </sheetData>
  <sheetProtection selectLockedCells="1" selectUnlockedCells="1"/>
  <mergeCells count="8">
    <mergeCell ref="M6:N6"/>
    <mergeCell ref="A85:B85"/>
    <mergeCell ref="A77:B77"/>
    <mergeCell ref="A57:B57"/>
    <mergeCell ref="A1:H2"/>
    <mergeCell ref="A70:B70"/>
    <mergeCell ref="D6:E6"/>
    <mergeCell ref="H6:I6"/>
  </mergeCells>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228BB-5674-4971-AD43-189791D2BB2C}">
  <dimension ref="A1:R21"/>
  <sheetViews>
    <sheetView tabSelected="1" zoomScale="129" zoomScaleNormal="130" workbookViewId="0"/>
  </sheetViews>
  <sheetFormatPr defaultRowHeight="14.4" x14ac:dyDescent="0.3"/>
  <cols>
    <col min="18" max="18" width="9.109375" customWidth="1"/>
  </cols>
  <sheetData>
    <row r="1" spans="1:18" x14ac:dyDescent="0.3">
      <c r="A1" s="3"/>
      <c r="B1" s="3"/>
      <c r="C1" s="3"/>
      <c r="D1" s="3"/>
      <c r="E1" s="3"/>
      <c r="F1" s="3"/>
      <c r="G1" s="3"/>
      <c r="H1" s="3"/>
      <c r="I1" s="3"/>
      <c r="J1" s="3"/>
      <c r="K1" s="3"/>
      <c r="L1" s="3"/>
      <c r="M1" s="3"/>
      <c r="N1" s="3"/>
      <c r="O1" s="3"/>
      <c r="P1" s="3"/>
      <c r="Q1" s="3"/>
      <c r="R1" s="3"/>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sheetData>
  <sheetProtection algorithmName="SHA-512" hashValue="6mRCMQqqVmhdOmMM3nlCjJc4zEZQGBpi9HbdbQJLIZHaDcZ7TNlXSRkAtrMj67ThUAkkQKTarND8nAMXAPJTVg==" saltValue="rbQiCT/kfvow7+11dt9eoA==" spinCount="100000" sheet="1" scenarios="1" formatCells="0" formatColumns="0" formatRows="0" insertColumns="0" insertRows="0" insertHyperlinks="0" deleteColumns="0" deleteRows="0" selectLockedCells="1" pivotTables="0"/>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F1865-27A8-4CF8-97E7-4E8F904A30FA}">
  <dimension ref="A1:S28"/>
  <sheetViews>
    <sheetView zoomScaleNormal="100" workbookViewId="0"/>
  </sheetViews>
  <sheetFormatPr defaultRowHeight="14.4" x14ac:dyDescent="0.3"/>
  <sheetData>
    <row r="1" spans="1:19" x14ac:dyDescent="0.3">
      <c r="A1" s="4"/>
      <c r="B1" s="4"/>
      <c r="C1" s="4"/>
      <c r="D1" s="4"/>
      <c r="E1" s="4"/>
      <c r="F1" s="4"/>
      <c r="G1" s="4"/>
      <c r="H1" s="4"/>
      <c r="I1" s="4"/>
      <c r="J1" s="4"/>
      <c r="K1" s="4"/>
      <c r="L1" s="4"/>
      <c r="M1" s="4"/>
      <c r="N1" s="4"/>
      <c r="O1" s="4"/>
      <c r="P1" s="4"/>
      <c r="Q1" s="4"/>
      <c r="R1" s="4"/>
      <c r="S1" s="4"/>
    </row>
    <row r="2" spans="1:19" x14ac:dyDescent="0.3">
      <c r="A2" s="4"/>
      <c r="B2" s="4"/>
      <c r="C2" s="4"/>
      <c r="D2" s="4"/>
      <c r="E2" s="4"/>
      <c r="F2" s="4"/>
      <c r="G2" s="4"/>
      <c r="H2" s="4"/>
      <c r="I2" s="4"/>
      <c r="J2" s="4"/>
      <c r="K2" s="4"/>
      <c r="L2" s="4"/>
      <c r="M2" s="4"/>
      <c r="N2" s="4"/>
      <c r="O2" s="4"/>
      <c r="P2" s="4"/>
      <c r="Q2" s="4"/>
      <c r="R2" s="4"/>
      <c r="S2" s="4"/>
    </row>
    <row r="3" spans="1:19" x14ac:dyDescent="0.3">
      <c r="A3" s="4"/>
      <c r="B3" s="4"/>
      <c r="C3" s="4"/>
      <c r="D3" s="4"/>
      <c r="E3" s="4"/>
      <c r="F3" s="4"/>
      <c r="G3" s="4"/>
      <c r="H3" s="4"/>
      <c r="I3" s="4"/>
      <c r="J3" s="4"/>
      <c r="K3" s="4"/>
      <c r="L3" s="4"/>
      <c r="M3" s="4"/>
      <c r="N3" s="4"/>
      <c r="O3" s="4"/>
      <c r="P3" s="4"/>
      <c r="Q3" s="4"/>
      <c r="R3" s="4"/>
      <c r="S3" s="4"/>
    </row>
    <row r="4" spans="1:19" x14ac:dyDescent="0.3">
      <c r="A4" s="4"/>
      <c r="B4" s="4"/>
      <c r="C4" s="4"/>
      <c r="D4" s="4"/>
      <c r="E4" s="4"/>
      <c r="F4" s="4"/>
      <c r="G4" s="4"/>
      <c r="H4" s="4"/>
      <c r="I4" s="4"/>
      <c r="J4" s="4"/>
      <c r="K4" s="4"/>
      <c r="L4" s="4"/>
      <c r="M4" s="4"/>
      <c r="N4" s="4"/>
      <c r="O4" s="4"/>
      <c r="P4" s="4"/>
      <c r="Q4" s="4"/>
      <c r="R4" s="4"/>
      <c r="S4" s="4"/>
    </row>
    <row r="5" spans="1:19" x14ac:dyDescent="0.3">
      <c r="A5" s="4"/>
      <c r="B5" s="4"/>
      <c r="C5" s="4"/>
      <c r="D5" s="4"/>
      <c r="E5" s="4"/>
      <c r="F5" s="4"/>
      <c r="G5" s="4"/>
      <c r="H5" s="4"/>
      <c r="I5" s="4"/>
      <c r="J5" s="4"/>
      <c r="K5" s="4"/>
      <c r="L5" s="4"/>
      <c r="M5" s="4"/>
      <c r="N5" s="4"/>
      <c r="O5" s="4"/>
      <c r="P5" s="4"/>
      <c r="Q5" s="4"/>
      <c r="R5" s="4"/>
      <c r="S5" s="4"/>
    </row>
    <row r="6" spans="1:19" x14ac:dyDescent="0.3">
      <c r="A6" s="4"/>
      <c r="B6" s="4"/>
      <c r="C6" s="4"/>
      <c r="D6" s="4"/>
      <c r="E6" s="4"/>
      <c r="F6" s="4"/>
      <c r="G6" s="4"/>
      <c r="H6" s="4"/>
      <c r="I6" s="4"/>
      <c r="J6" s="4"/>
      <c r="K6" s="4"/>
      <c r="L6" s="4"/>
      <c r="M6" s="4"/>
      <c r="N6" s="4"/>
      <c r="O6" s="4"/>
      <c r="P6" s="4"/>
      <c r="Q6" s="4"/>
      <c r="R6" s="4"/>
      <c r="S6" s="4"/>
    </row>
    <row r="7" spans="1:19" x14ac:dyDescent="0.3">
      <c r="A7" s="4"/>
      <c r="B7" s="4"/>
      <c r="C7" s="4"/>
      <c r="D7" s="4"/>
      <c r="E7" s="4"/>
      <c r="F7" s="4"/>
      <c r="G7" s="4"/>
      <c r="H7" s="4"/>
      <c r="I7" s="4"/>
      <c r="J7" s="4"/>
      <c r="K7" s="4"/>
      <c r="L7" s="4"/>
      <c r="M7" s="4"/>
      <c r="N7" s="4"/>
      <c r="O7" s="4"/>
      <c r="P7" s="4"/>
      <c r="Q7" s="4"/>
      <c r="R7" s="4"/>
      <c r="S7" s="4"/>
    </row>
    <row r="8" spans="1:19" x14ac:dyDescent="0.3">
      <c r="A8" s="4"/>
      <c r="B8" s="4"/>
      <c r="C8" s="4"/>
      <c r="D8" s="4"/>
      <c r="E8" s="4"/>
      <c r="F8" s="4"/>
      <c r="G8" s="4"/>
      <c r="H8" s="4"/>
      <c r="I8" s="4"/>
      <c r="J8" s="4"/>
      <c r="K8" s="4"/>
      <c r="L8" s="4"/>
      <c r="M8" s="4"/>
      <c r="N8" s="4"/>
      <c r="O8" s="4"/>
      <c r="P8" s="4"/>
      <c r="Q8" s="4"/>
      <c r="R8" s="4"/>
      <c r="S8" s="4"/>
    </row>
    <row r="9" spans="1:19" x14ac:dyDescent="0.3">
      <c r="A9" s="4"/>
      <c r="B9" s="4"/>
      <c r="C9" s="4"/>
      <c r="D9" s="4"/>
      <c r="E9" s="4"/>
      <c r="F9" s="4"/>
      <c r="G9" s="4"/>
      <c r="H9" s="4"/>
      <c r="I9" s="4"/>
      <c r="J9" s="4"/>
      <c r="K9" s="4"/>
      <c r="L9" s="4"/>
      <c r="M9" s="4"/>
      <c r="N9" s="4"/>
      <c r="O9" s="4"/>
      <c r="P9" s="4"/>
      <c r="Q9" s="4"/>
      <c r="R9" s="4"/>
      <c r="S9" s="4"/>
    </row>
    <row r="10" spans="1:19" x14ac:dyDescent="0.3">
      <c r="A10" s="4"/>
      <c r="B10" s="4"/>
      <c r="C10" s="4"/>
      <c r="D10" s="4"/>
      <c r="E10" s="4"/>
      <c r="F10" s="4"/>
      <c r="G10" s="4"/>
      <c r="H10" s="4"/>
      <c r="I10" s="4"/>
      <c r="J10" s="4"/>
      <c r="K10" s="4"/>
      <c r="L10" s="4"/>
      <c r="M10" s="4"/>
      <c r="N10" s="4"/>
      <c r="O10" s="4"/>
      <c r="P10" s="4"/>
      <c r="Q10" s="4"/>
      <c r="R10" s="4"/>
      <c r="S10" s="4"/>
    </row>
    <row r="11" spans="1:19" x14ac:dyDescent="0.3">
      <c r="A11" s="4"/>
      <c r="B11" s="4"/>
      <c r="C11" s="4"/>
      <c r="D11" s="4"/>
      <c r="E11" s="4"/>
      <c r="F11" s="4"/>
      <c r="G11" s="4"/>
      <c r="H11" s="4"/>
      <c r="I11" s="4"/>
      <c r="J11" s="4"/>
      <c r="K11" s="4"/>
      <c r="L11" s="4"/>
      <c r="M11" s="4"/>
      <c r="N11" s="4"/>
      <c r="O11" s="4"/>
      <c r="P11" s="4"/>
      <c r="Q11" s="4"/>
      <c r="R11" s="4"/>
      <c r="S11" s="4"/>
    </row>
    <row r="12" spans="1:19" x14ac:dyDescent="0.3">
      <c r="A12" s="4"/>
      <c r="B12" s="4"/>
      <c r="C12" s="4"/>
      <c r="D12" s="4"/>
      <c r="E12" s="4"/>
      <c r="F12" s="4"/>
      <c r="G12" s="4"/>
      <c r="H12" s="4"/>
      <c r="I12" s="4"/>
      <c r="J12" s="4"/>
      <c r="K12" s="4"/>
      <c r="L12" s="4"/>
      <c r="M12" s="4"/>
      <c r="N12" s="4"/>
      <c r="O12" s="4"/>
      <c r="P12" s="4"/>
      <c r="Q12" s="4"/>
      <c r="R12" s="4"/>
      <c r="S12" s="4"/>
    </row>
    <row r="13" spans="1:19" x14ac:dyDescent="0.3">
      <c r="A13" s="4"/>
      <c r="B13" s="4"/>
      <c r="C13" s="4"/>
      <c r="D13" s="4"/>
      <c r="E13" s="4"/>
      <c r="F13" s="4"/>
      <c r="G13" s="4"/>
      <c r="H13" s="4"/>
      <c r="I13" s="4"/>
      <c r="J13" s="4"/>
      <c r="K13" s="4"/>
      <c r="L13" s="4"/>
      <c r="M13" s="4"/>
      <c r="N13" s="4"/>
      <c r="O13" s="4"/>
      <c r="P13" s="4"/>
      <c r="Q13" s="4"/>
      <c r="R13" s="4"/>
      <c r="S13" s="4"/>
    </row>
    <row r="14" spans="1:19" x14ac:dyDescent="0.3">
      <c r="A14" s="4"/>
      <c r="B14" s="4"/>
      <c r="C14" s="4"/>
      <c r="D14" s="4"/>
      <c r="E14" s="4"/>
      <c r="F14" s="4"/>
      <c r="G14" s="4"/>
      <c r="H14" s="4"/>
      <c r="I14" s="4"/>
      <c r="J14" s="4"/>
      <c r="K14" s="4"/>
      <c r="L14" s="4"/>
      <c r="M14" s="4"/>
      <c r="N14" s="4"/>
      <c r="O14" s="4"/>
      <c r="P14" s="4"/>
      <c r="Q14" s="4"/>
      <c r="R14" s="4"/>
      <c r="S14" s="4"/>
    </row>
    <row r="15" spans="1:19" x14ac:dyDescent="0.3">
      <c r="A15" s="4"/>
      <c r="B15" s="4"/>
      <c r="C15" s="4"/>
      <c r="D15" s="4"/>
      <c r="E15" s="4"/>
      <c r="F15" s="4"/>
      <c r="G15" s="4"/>
      <c r="H15" s="4"/>
      <c r="I15" s="4"/>
      <c r="J15" s="4"/>
      <c r="K15" s="4"/>
      <c r="L15" s="4"/>
      <c r="M15" s="4"/>
      <c r="N15" s="4"/>
      <c r="O15" s="4"/>
      <c r="P15" s="4"/>
      <c r="Q15" s="4"/>
      <c r="R15" s="4"/>
      <c r="S15" s="4"/>
    </row>
    <row r="16" spans="1:19" x14ac:dyDescent="0.3">
      <c r="A16" s="4"/>
      <c r="B16" s="4"/>
      <c r="C16" s="4"/>
      <c r="D16" s="4"/>
      <c r="E16" s="4"/>
      <c r="F16" s="4"/>
      <c r="G16" s="4"/>
      <c r="H16" s="4"/>
      <c r="I16" s="4"/>
      <c r="J16" s="4"/>
      <c r="K16" s="4"/>
      <c r="L16" s="4"/>
      <c r="M16" s="4"/>
      <c r="N16" s="4"/>
      <c r="O16" s="4"/>
      <c r="P16" s="4"/>
      <c r="Q16" s="4"/>
      <c r="R16" s="4"/>
      <c r="S16" s="4"/>
    </row>
    <row r="17" spans="1:19" x14ac:dyDescent="0.3">
      <c r="A17" s="4"/>
      <c r="B17" s="4"/>
      <c r="C17" s="4"/>
      <c r="D17" s="4"/>
      <c r="E17" s="4"/>
      <c r="F17" s="4"/>
      <c r="G17" s="4"/>
      <c r="H17" s="4"/>
      <c r="I17" s="4"/>
      <c r="J17" s="4"/>
      <c r="K17" s="4"/>
      <c r="L17" s="4"/>
      <c r="M17" s="4"/>
      <c r="N17" s="4"/>
      <c r="O17" s="4"/>
      <c r="P17" s="4"/>
      <c r="Q17" s="4"/>
      <c r="R17" s="4"/>
      <c r="S17" s="4"/>
    </row>
    <row r="18" spans="1:19" x14ac:dyDescent="0.3">
      <c r="A18" s="4"/>
      <c r="B18" s="4"/>
      <c r="C18" s="4"/>
      <c r="D18" s="4"/>
      <c r="E18" s="4"/>
      <c r="F18" s="4"/>
      <c r="G18" s="4"/>
      <c r="H18" s="4"/>
      <c r="I18" s="4"/>
      <c r="J18" s="4"/>
      <c r="K18" s="4"/>
      <c r="L18" s="4"/>
      <c r="M18" s="4"/>
      <c r="N18" s="4"/>
      <c r="O18" s="4"/>
      <c r="P18" s="4"/>
      <c r="Q18" s="4"/>
      <c r="R18" s="4"/>
      <c r="S18" s="4"/>
    </row>
    <row r="19" spans="1:19" x14ac:dyDescent="0.3">
      <c r="A19" s="4"/>
      <c r="B19" s="4"/>
      <c r="C19" s="4"/>
      <c r="D19" s="4"/>
      <c r="E19" s="4"/>
      <c r="F19" s="4"/>
      <c r="G19" s="4"/>
      <c r="H19" s="4"/>
      <c r="I19" s="4"/>
      <c r="J19" s="4"/>
      <c r="K19" s="4"/>
      <c r="L19" s="4"/>
      <c r="M19" s="4"/>
      <c r="N19" s="4"/>
      <c r="O19" s="4"/>
      <c r="P19" s="4"/>
      <c r="Q19" s="4"/>
      <c r="R19" s="4"/>
      <c r="S19" s="4"/>
    </row>
    <row r="20" spans="1:19" x14ac:dyDescent="0.3">
      <c r="A20" s="4"/>
      <c r="B20" s="4"/>
      <c r="C20" s="4"/>
      <c r="D20" s="4"/>
      <c r="E20" s="4"/>
      <c r="F20" s="4"/>
      <c r="G20" s="4"/>
      <c r="H20" s="4"/>
      <c r="I20" s="4"/>
      <c r="J20" s="4"/>
      <c r="K20" s="4"/>
      <c r="L20" s="4"/>
      <c r="M20" s="4"/>
      <c r="N20" s="4"/>
      <c r="O20" s="4"/>
      <c r="P20" s="4"/>
      <c r="Q20" s="4"/>
      <c r="R20" s="4"/>
      <c r="S20" s="4"/>
    </row>
    <row r="21" spans="1:19" x14ac:dyDescent="0.3">
      <c r="A21" s="4"/>
      <c r="B21" s="4"/>
      <c r="C21" s="4"/>
      <c r="D21" s="4"/>
      <c r="E21" s="4"/>
      <c r="F21" s="4"/>
      <c r="G21" s="4"/>
      <c r="H21" s="4"/>
      <c r="I21" s="4"/>
      <c r="J21" s="4"/>
      <c r="K21" s="4"/>
      <c r="L21" s="4"/>
      <c r="M21" s="4"/>
      <c r="N21" s="4"/>
      <c r="O21" s="4"/>
      <c r="P21" s="4"/>
      <c r="Q21" s="4"/>
      <c r="R21" s="4"/>
      <c r="S21" s="4"/>
    </row>
    <row r="22" spans="1:19" x14ac:dyDescent="0.3">
      <c r="A22" s="4"/>
      <c r="B22" s="4"/>
      <c r="C22" s="4"/>
      <c r="D22" s="4"/>
      <c r="E22" s="4"/>
      <c r="F22" s="4"/>
      <c r="G22" s="4"/>
      <c r="H22" s="4"/>
      <c r="I22" s="4"/>
      <c r="J22" s="4"/>
      <c r="K22" s="4"/>
      <c r="L22" s="4"/>
      <c r="M22" s="4"/>
      <c r="N22" s="4"/>
      <c r="O22" s="4"/>
      <c r="P22" s="4"/>
      <c r="Q22" s="4"/>
      <c r="R22" s="4"/>
      <c r="S22" s="4"/>
    </row>
    <row r="23" spans="1:19" x14ac:dyDescent="0.3">
      <c r="A23" s="4"/>
      <c r="B23" s="4"/>
      <c r="C23" s="4"/>
      <c r="D23" s="4"/>
      <c r="E23" s="4"/>
      <c r="F23" s="4"/>
      <c r="G23" s="4"/>
      <c r="H23" s="4"/>
      <c r="I23" s="4"/>
      <c r="J23" s="4"/>
      <c r="K23" s="4"/>
      <c r="L23" s="4"/>
      <c r="M23" s="4"/>
      <c r="N23" s="4"/>
      <c r="O23" s="4"/>
      <c r="P23" s="4"/>
      <c r="Q23" s="4"/>
      <c r="R23" s="4"/>
      <c r="S23" s="4"/>
    </row>
    <row r="24" spans="1:19" x14ac:dyDescent="0.3">
      <c r="A24" s="4"/>
      <c r="B24" s="4"/>
      <c r="C24" s="4"/>
      <c r="D24" s="4"/>
      <c r="E24" s="4"/>
      <c r="F24" s="4"/>
      <c r="G24" s="4"/>
      <c r="H24" s="4"/>
      <c r="I24" s="4"/>
      <c r="J24" s="4"/>
      <c r="K24" s="4"/>
      <c r="L24" s="4"/>
      <c r="M24" s="4"/>
      <c r="N24" s="4"/>
      <c r="O24" s="4"/>
      <c r="P24" s="4"/>
      <c r="Q24" s="4"/>
      <c r="R24" s="4"/>
      <c r="S24" s="4"/>
    </row>
    <row r="25" spans="1:19" x14ac:dyDescent="0.3">
      <c r="A25" s="4"/>
      <c r="B25" s="4"/>
      <c r="C25" s="4"/>
      <c r="D25" s="4"/>
      <c r="E25" s="4"/>
      <c r="F25" s="4"/>
      <c r="G25" s="4"/>
      <c r="H25" s="4"/>
      <c r="I25" s="4"/>
      <c r="J25" s="4"/>
      <c r="K25" s="4"/>
      <c r="L25" s="4"/>
      <c r="M25" s="4"/>
      <c r="N25" s="4"/>
      <c r="O25" s="4"/>
      <c r="P25" s="4"/>
      <c r="Q25" s="4"/>
      <c r="R25" s="4"/>
      <c r="S25" s="4"/>
    </row>
    <row r="26" spans="1:19" x14ac:dyDescent="0.3">
      <c r="A26" s="4"/>
      <c r="B26" s="4"/>
      <c r="C26" s="4"/>
      <c r="D26" s="4"/>
      <c r="E26" s="4"/>
      <c r="F26" s="4"/>
      <c r="G26" s="4"/>
      <c r="H26" s="4"/>
      <c r="I26" s="4"/>
      <c r="J26" s="4"/>
      <c r="K26" s="4"/>
      <c r="L26" s="4"/>
      <c r="M26" s="4"/>
      <c r="N26" s="4"/>
      <c r="O26" s="4"/>
      <c r="P26" s="4"/>
      <c r="Q26" s="4"/>
      <c r="R26" s="4"/>
      <c r="S26" s="4"/>
    </row>
    <row r="27" spans="1:19" x14ac:dyDescent="0.3">
      <c r="A27" s="4"/>
      <c r="B27" s="4"/>
      <c r="C27" s="4"/>
      <c r="D27" s="4"/>
      <c r="E27" s="4"/>
      <c r="F27" s="4"/>
      <c r="G27" s="4"/>
      <c r="H27" s="4"/>
      <c r="I27" s="4"/>
      <c r="J27" s="4"/>
      <c r="K27" s="4"/>
      <c r="L27" s="4"/>
      <c r="M27" s="4"/>
      <c r="N27" s="4"/>
      <c r="O27" s="4"/>
      <c r="P27" s="4"/>
      <c r="Q27" s="4"/>
      <c r="R27" s="4"/>
      <c r="S27" s="4"/>
    </row>
    <row r="28" spans="1:19" x14ac:dyDescent="0.3">
      <c r="A28" s="4"/>
      <c r="B28" s="4"/>
      <c r="C28" s="4"/>
      <c r="D28" s="4"/>
      <c r="E28" s="4"/>
      <c r="F28" s="4"/>
      <c r="G28" s="4"/>
      <c r="H28" s="4"/>
      <c r="I28" s="4"/>
      <c r="J28" s="4"/>
      <c r="K28" s="4"/>
      <c r="L28" s="4"/>
      <c r="M28" s="4"/>
      <c r="N28" s="4"/>
      <c r="O28" s="4"/>
      <c r="P28" s="4"/>
      <c r="Q28" s="4"/>
      <c r="R28" s="4"/>
      <c r="S28" s="4"/>
    </row>
  </sheetData>
  <sheetProtection algorithmName="SHA-512" hashValue="LH/8Hb4Z5D7RFmUUIhttCHUbYaiqgiLdNh54dIVHjZ1CmFeJOER3AHOTGW/E8QlyXKlCG0EeQEF6q3742ee/tQ==" saltValue="j8jwpoU7TgtfmSYUT6eXyw==" spinCount="100000" sheet="1" objects="1" scenarios="1" selectLockedCells="1" selectUnlockedCell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43EB8-E8BB-4350-A375-D5134E7D5D07}">
  <dimension ref="A1:W27"/>
  <sheetViews>
    <sheetView workbookViewId="0"/>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sheetData>
  <sheetProtection sheet="1" objects="1" scenarios="1" selectLockedCells="1" selectUnlockedCell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790CA-913D-4759-B25C-A2C59DEBBC87}">
  <dimension ref="A1:W27"/>
  <sheetViews>
    <sheetView workbookViewId="0"/>
  </sheetViews>
  <sheetFormatPr defaultRowHeight="14.4" x14ac:dyDescent="0.3"/>
  <sheetData>
    <row r="1" spans="1:23" x14ac:dyDescent="0.3">
      <c r="A1" s="4"/>
      <c r="B1" s="4"/>
      <c r="C1" s="4"/>
      <c r="D1" s="4"/>
      <c r="E1" s="4"/>
      <c r="F1" s="4"/>
      <c r="G1" s="4"/>
      <c r="H1" s="4"/>
      <c r="I1" s="4"/>
      <c r="J1" s="4"/>
      <c r="K1" s="4"/>
      <c r="L1" s="4"/>
      <c r="M1" s="4"/>
      <c r="N1" s="4"/>
      <c r="O1" s="4"/>
      <c r="P1" s="4"/>
      <c r="Q1" s="4"/>
      <c r="R1" s="4"/>
      <c r="S1" s="4"/>
      <c r="T1" s="4"/>
      <c r="U1" s="4"/>
      <c r="V1" s="4"/>
      <c r="W1" s="4"/>
    </row>
    <row r="2" spans="1:23" x14ac:dyDescent="0.3">
      <c r="A2" s="4"/>
      <c r="B2" s="4"/>
      <c r="C2" s="4"/>
      <c r="D2" s="4"/>
      <c r="E2" s="4"/>
      <c r="F2" s="4"/>
      <c r="G2" s="4"/>
      <c r="H2" s="4"/>
      <c r="I2" s="4"/>
      <c r="J2" s="4"/>
      <c r="K2" s="4"/>
      <c r="L2" s="4"/>
      <c r="M2" s="4"/>
      <c r="N2" s="4"/>
      <c r="O2" s="4"/>
      <c r="P2" s="4"/>
      <c r="Q2" s="4"/>
      <c r="R2" s="4"/>
      <c r="S2" s="4"/>
      <c r="T2" s="4"/>
      <c r="U2" s="4"/>
      <c r="V2" s="4"/>
      <c r="W2" s="4"/>
    </row>
    <row r="3" spans="1:23" x14ac:dyDescent="0.3">
      <c r="A3" s="4"/>
      <c r="B3" s="4"/>
      <c r="C3" s="4"/>
      <c r="D3" s="4"/>
      <c r="E3" s="4"/>
      <c r="F3" s="4"/>
      <c r="G3" s="4"/>
      <c r="H3" s="4"/>
      <c r="I3" s="4"/>
      <c r="J3" s="4"/>
      <c r="K3" s="4"/>
      <c r="L3" s="4"/>
      <c r="M3" s="4"/>
      <c r="N3" s="4"/>
      <c r="O3" s="4"/>
      <c r="P3" s="4"/>
      <c r="Q3" s="4"/>
      <c r="R3" s="4"/>
      <c r="S3" s="4"/>
      <c r="T3" s="4"/>
      <c r="U3" s="4"/>
      <c r="V3" s="4"/>
      <c r="W3" s="4"/>
    </row>
    <row r="4" spans="1:23" x14ac:dyDescent="0.3">
      <c r="A4" s="4"/>
      <c r="B4" s="4"/>
      <c r="C4" s="4"/>
      <c r="D4" s="4"/>
      <c r="E4" s="4"/>
      <c r="F4" s="4"/>
      <c r="G4" s="4"/>
      <c r="H4" s="4"/>
      <c r="I4" s="4"/>
      <c r="J4" s="4"/>
      <c r="K4" s="4"/>
      <c r="L4" s="4"/>
      <c r="M4" s="4"/>
      <c r="N4" s="4"/>
      <c r="O4" s="4"/>
      <c r="P4" s="4"/>
      <c r="Q4" s="4"/>
      <c r="R4" s="4"/>
      <c r="S4" s="4"/>
      <c r="T4" s="4"/>
      <c r="U4" s="4"/>
      <c r="V4" s="4"/>
      <c r="W4" s="4"/>
    </row>
    <row r="5" spans="1:23" x14ac:dyDescent="0.3">
      <c r="A5" s="4"/>
      <c r="B5" s="4"/>
      <c r="C5" s="4"/>
      <c r="D5" s="4"/>
      <c r="E5" s="4"/>
      <c r="F5" s="4"/>
      <c r="G5" s="4"/>
      <c r="H5" s="4"/>
      <c r="I5" s="4"/>
      <c r="J5" s="4"/>
      <c r="K5" s="4"/>
      <c r="L5" s="4"/>
      <c r="M5" s="4"/>
      <c r="N5" s="4"/>
      <c r="O5" s="4"/>
      <c r="P5" s="4"/>
      <c r="Q5" s="4"/>
      <c r="R5" s="4"/>
      <c r="S5" s="4"/>
      <c r="T5" s="4"/>
      <c r="U5" s="4"/>
      <c r="V5" s="4"/>
      <c r="W5" s="4"/>
    </row>
    <row r="6" spans="1:23" x14ac:dyDescent="0.3">
      <c r="A6" s="4"/>
      <c r="B6" s="4"/>
      <c r="C6" s="4"/>
      <c r="D6" s="4"/>
      <c r="E6" s="4"/>
      <c r="F6" s="4"/>
      <c r="G6" s="4"/>
      <c r="H6" s="4"/>
      <c r="I6" s="4"/>
      <c r="J6" s="4"/>
      <c r="K6" s="4"/>
      <c r="L6" s="4"/>
      <c r="M6" s="4"/>
      <c r="N6" s="4"/>
      <c r="O6" s="4"/>
      <c r="P6" s="4"/>
      <c r="Q6" s="4"/>
      <c r="R6" s="4"/>
      <c r="S6" s="4"/>
      <c r="T6" s="4"/>
      <c r="U6" s="4"/>
      <c r="V6" s="4"/>
      <c r="W6" s="4"/>
    </row>
    <row r="7" spans="1:23" x14ac:dyDescent="0.3">
      <c r="A7" s="4"/>
      <c r="B7" s="4"/>
      <c r="C7" s="4"/>
      <c r="D7" s="4"/>
      <c r="E7" s="4"/>
      <c r="F7" s="4"/>
      <c r="G7" s="4"/>
      <c r="H7" s="4"/>
      <c r="I7" s="4"/>
      <c r="J7" s="4"/>
      <c r="K7" s="4"/>
      <c r="L7" s="4"/>
      <c r="M7" s="4"/>
      <c r="N7" s="4"/>
      <c r="O7" s="4"/>
      <c r="P7" s="4"/>
      <c r="Q7" s="4"/>
      <c r="R7" s="4"/>
      <c r="S7" s="4"/>
      <c r="T7" s="4"/>
      <c r="U7" s="4"/>
      <c r="V7" s="4"/>
      <c r="W7" s="4"/>
    </row>
    <row r="8" spans="1:23" x14ac:dyDescent="0.3">
      <c r="A8" s="4"/>
      <c r="B8" s="4"/>
      <c r="C8" s="4"/>
      <c r="D8" s="4"/>
      <c r="E8" s="4"/>
      <c r="F8" s="4"/>
      <c r="G8" s="4"/>
      <c r="H8" s="4"/>
      <c r="I8" s="4"/>
      <c r="J8" s="4"/>
      <c r="K8" s="4"/>
      <c r="L8" s="4"/>
      <c r="M8" s="4"/>
      <c r="N8" s="4"/>
      <c r="O8" s="4"/>
      <c r="P8" s="4"/>
      <c r="Q8" s="4"/>
      <c r="R8" s="4"/>
      <c r="S8" s="4"/>
      <c r="T8" s="4"/>
      <c r="U8" s="4"/>
      <c r="V8" s="4"/>
      <c r="W8" s="4"/>
    </row>
    <row r="9" spans="1:23" x14ac:dyDescent="0.3">
      <c r="A9" s="4"/>
      <c r="B9" s="4"/>
      <c r="C9" s="4"/>
      <c r="D9" s="4"/>
      <c r="E9" s="4"/>
      <c r="F9" s="4"/>
      <c r="G9" s="4"/>
      <c r="H9" s="4"/>
      <c r="I9" s="4"/>
      <c r="J9" s="4"/>
      <c r="K9" s="4"/>
      <c r="L9" s="4"/>
      <c r="M9" s="4"/>
      <c r="N9" s="4"/>
      <c r="O9" s="4"/>
      <c r="P9" s="4"/>
      <c r="Q9" s="4"/>
      <c r="R9" s="4"/>
      <c r="S9" s="4"/>
      <c r="T9" s="4"/>
      <c r="U9" s="4"/>
      <c r="V9" s="4"/>
      <c r="W9" s="4"/>
    </row>
    <row r="10" spans="1:23" x14ac:dyDescent="0.3">
      <c r="A10" s="4"/>
      <c r="B10" s="4"/>
      <c r="C10" s="4"/>
      <c r="D10" s="4"/>
      <c r="E10" s="4"/>
      <c r="F10" s="4"/>
      <c r="G10" s="4"/>
      <c r="H10" s="4"/>
      <c r="I10" s="4"/>
      <c r="J10" s="4"/>
      <c r="K10" s="4"/>
      <c r="L10" s="4"/>
      <c r="M10" s="4"/>
      <c r="N10" s="4"/>
      <c r="O10" s="4"/>
      <c r="P10" s="4"/>
      <c r="Q10" s="4"/>
      <c r="R10" s="4"/>
      <c r="S10" s="4"/>
      <c r="T10" s="4"/>
      <c r="U10" s="4"/>
      <c r="V10" s="4"/>
      <c r="W10" s="4"/>
    </row>
    <row r="11" spans="1:23" x14ac:dyDescent="0.3">
      <c r="A11" s="4"/>
      <c r="B11" s="4"/>
      <c r="C11" s="4"/>
      <c r="D11" s="4"/>
      <c r="E11" s="4"/>
      <c r="F11" s="4"/>
      <c r="G11" s="4"/>
      <c r="H11" s="4"/>
      <c r="I11" s="4"/>
      <c r="J11" s="4"/>
      <c r="K11" s="4"/>
      <c r="L11" s="4"/>
      <c r="M11" s="4"/>
      <c r="N11" s="4"/>
      <c r="O11" s="4"/>
      <c r="P11" s="4"/>
      <c r="Q11" s="4"/>
      <c r="R11" s="4"/>
      <c r="S11" s="4"/>
      <c r="T11" s="4"/>
      <c r="U11" s="4"/>
      <c r="V11" s="4"/>
      <c r="W11" s="4"/>
    </row>
    <row r="12" spans="1:23" x14ac:dyDescent="0.3">
      <c r="A12" s="4"/>
      <c r="B12" s="4"/>
      <c r="C12" s="4"/>
      <c r="D12" s="4"/>
      <c r="E12" s="4"/>
      <c r="F12" s="4"/>
      <c r="G12" s="4"/>
      <c r="H12" s="4"/>
      <c r="I12" s="4"/>
      <c r="J12" s="4"/>
      <c r="K12" s="4"/>
      <c r="L12" s="4"/>
      <c r="M12" s="4"/>
      <c r="N12" s="4"/>
      <c r="O12" s="4"/>
      <c r="P12" s="4"/>
      <c r="Q12" s="4"/>
      <c r="R12" s="4"/>
      <c r="S12" s="4"/>
      <c r="T12" s="4"/>
      <c r="U12" s="4"/>
      <c r="V12" s="4"/>
      <c r="W12" s="4"/>
    </row>
    <row r="13" spans="1:23" x14ac:dyDescent="0.3">
      <c r="A13" s="4"/>
      <c r="B13" s="4"/>
      <c r="C13" s="4"/>
      <c r="D13" s="4"/>
      <c r="E13" s="4"/>
      <c r="F13" s="4"/>
      <c r="G13" s="4"/>
      <c r="H13" s="4"/>
      <c r="I13" s="4"/>
      <c r="J13" s="4"/>
      <c r="K13" s="4"/>
      <c r="L13" s="4"/>
      <c r="M13" s="4"/>
      <c r="N13" s="4"/>
      <c r="O13" s="4"/>
      <c r="P13" s="4"/>
      <c r="Q13" s="4"/>
      <c r="R13" s="4"/>
      <c r="S13" s="4"/>
      <c r="T13" s="4"/>
      <c r="U13" s="4"/>
      <c r="V13" s="4"/>
      <c r="W13" s="4"/>
    </row>
    <row r="14" spans="1:23" x14ac:dyDescent="0.3">
      <c r="A14" s="4"/>
      <c r="B14" s="4"/>
      <c r="C14" s="4"/>
      <c r="D14" s="4"/>
      <c r="E14" s="4"/>
      <c r="F14" s="4"/>
      <c r="G14" s="4"/>
      <c r="H14" s="4"/>
      <c r="I14" s="4"/>
      <c r="J14" s="4"/>
      <c r="K14" s="4"/>
      <c r="L14" s="4"/>
      <c r="M14" s="4"/>
      <c r="N14" s="4"/>
      <c r="O14" s="4"/>
      <c r="P14" s="4"/>
      <c r="Q14" s="4"/>
      <c r="R14" s="4"/>
      <c r="S14" s="4"/>
      <c r="T14" s="4"/>
      <c r="U14" s="4"/>
      <c r="V14" s="4"/>
      <c r="W14" s="4"/>
    </row>
    <row r="15" spans="1:23" x14ac:dyDescent="0.3">
      <c r="A15" s="4"/>
      <c r="B15" s="4"/>
      <c r="C15" s="4"/>
      <c r="D15" s="4"/>
      <c r="E15" s="4"/>
      <c r="F15" s="4"/>
      <c r="G15" s="4"/>
      <c r="H15" s="4"/>
      <c r="I15" s="4"/>
      <c r="J15" s="4"/>
      <c r="K15" s="4"/>
      <c r="L15" s="4"/>
      <c r="M15" s="4"/>
      <c r="N15" s="4"/>
      <c r="O15" s="4"/>
      <c r="P15" s="4"/>
      <c r="Q15" s="4"/>
      <c r="R15" s="4"/>
      <c r="S15" s="4"/>
      <c r="T15" s="4"/>
      <c r="U15" s="4"/>
      <c r="V15" s="4"/>
      <c r="W15" s="4"/>
    </row>
    <row r="16" spans="1:23" x14ac:dyDescent="0.3">
      <c r="A16" s="4"/>
      <c r="B16" s="4"/>
      <c r="C16" s="4"/>
      <c r="D16" s="4"/>
      <c r="E16" s="4"/>
      <c r="F16" s="4"/>
      <c r="G16" s="4"/>
      <c r="H16" s="4"/>
      <c r="I16" s="4"/>
      <c r="J16" s="4"/>
      <c r="K16" s="4"/>
      <c r="L16" s="4"/>
      <c r="M16" s="4"/>
      <c r="N16" s="4"/>
      <c r="O16" s="4"/>
      <c r="P16" s="4"/>
      <c r="Q16" s="4"/>
      <c r="R16" s="4"/>
      <c r="S16" s="4"/>
      <c r="T16" s="4"/>
      <c r="U16" s="4"/>
      <c r="V16" s="4"/>
      <c r="W16" s="4"/>
    </row>
    <row r="17" spans="1:23" x14ac:dyDescent="0.3">
      <c r="A17" s="4"/>
      <c r="B17" s="4"/>
      <c r="C17" s="4"/>
      <c r="D17" s="4"/>
      <c r="E17" s="4"/>
      <c r="F17" s="4"/>
      <c r="G17" s="4"/>
      <c r="H17" s="4"/>
      <c r="I17" s="4"/>
      <c r="J17" s="4"/>
      <c r="K17" s="4"/>
      <c r="L17" s="4"/>
      <c r="M17" s="4"/>
      <c r="N17" s="4"/>
      <c r="O17" s="4"/>
      <c r="P17" s="4"/>
      <c r="Q17" s="4"/>
      <c r="R17" s="4"/>
      <c r="S17" s="4"/>
      <c r="T17" s="4"/>
      <c r="U17" s="4"/>
      <c r="V17" s="4"/>
      <c r="W17" s="4"/>
    </row>
    <row r="18" spans="1:23" x14ac:dyDescent="0.3">
      <c r="A18" s="4"/>
      <c r="B18" s="4"/>
      <c r="C18" s="4"/>
      <c r="D18" s="4"/>
      <c r="E18" s="4"/>
      <c r="F18" s="4"/>
      <c r="G18" s="4"/>
      <c r="H18" s="4"/>
      <c r="I18" s="4"/>
      <c r="J18" s="4"/>
      <c r="K18" s="4"/>
      <c r="L18" s="4"/>
      <c r="M18" s="4"/>
      <c r="N18" s="4"/>
      <c r="O18" s="4"/>
      <c r="P18" s="4"/>
      <c r="Q18" s="4"/>
      <c r="R18" s="4"/>
      <c r="S18" s="4"/>
      <c r="T18" s="4"/>
      <c r="U18" s="4"/>
      <c r="V18" s="4"/>
      <c r="W18" s="4"/>
    </row>
    <row r="19" spans="1:23" x14ac:dyDescent="0.3">
      <c r="A19" s="4"/>
      <c r="B19" s="4"/>
      <c r="C19" s="4"/>
      <c r="D19" s="4"/>
      <c r="E19" s="4"/>
      <c r="F19" s="4"/>
      <c r="G19" s="4"/>
      <c r="H19" s="4"/>
      <c r="I19" s="4"/>
      <c r="J19" s="4"/>
      <c r="K19" s="4"/>
      <c r="L19" s="4"/>
      <c r="M19" s="4"/>
      <c r="N19" s="4"/>
      <c r="O19" s="4"/>
      <c r="P19" s="4"/>
      <c r="Q19" s="4"/>
      <c r="R19" s="4"/>
      <c r="S19" s="4"/>
      <c r="T19" s="4"/>
      <c r="U19" s="4"/>
      <c r="V19" s="4"/>
      <c r="W19" s="4"/>
    </row>
    <row r="20" spans="1:23" x14ac:dyDescent="0.3">
      <c r="A20" s="4"/>
      <c r="B20" s="4"/>
      <c r="C20" s="4"/>
      <c r="D20" s="4"/>
      <c r="E20" s="4"/>
      <c r="F20" s="4"/>
      <c r="G20" s="4"/>
      <c r="H20" s="4"/>
      <c r="I20" s="4"/>
      <c r="J20" s="4"/>
      <c r="K20" s="4"/>
      <c r="L20" s="4"/>
      <c r="M20" s="4"/>
      <c r="N20" s="4"/>
      <c r="O20" s="4"/>
      <c r="P20" s="4"/>
      <c r="Q20" s="4"/>
      <c r="R20" s="4"/>
      <c r="S20" s="4"/>
      <c r="T20" s="4"/>
      <c r="U20" s="4"/>
      <c r="V20" s="4"/>
      <c r="W20" s="4"/>
    </row>
    <row r="21" spans="1:23" x14ac:dyDescent="0.3">
      <c r="A21" s="4"/>
      <c r="B21" s="4"/>
      <c r="C21" s="4"/>
      <c r="D21" s="4"/>
      <c r="E21" s="4"/>
      <c r="F21" s="4"/>
      <c r="G21" s="4"/>
      <c r="H21" s="4"/>
      <c r="I21" s="4"/>
      <c r="J21" s="4"/>
      <c r="K21" s="4"/>
      <c r="L21" s="4"/>
      <c r="M21" s="4"/>
      <c r="N21" s="4"/>
      <c r="O21" s="4"/>
      <c r="P21" s="4"/>
      <c r="Q21" s="4"/>
      <c r="R21" s="4"/>
      <c r="S21" s="4"/>
      <c r="T21" s="4"/>
      <c r="U21" s="4"/>
      <c r="V21" s="4"/>
      <c r="W21" s="4"/>
    </row>
    <row r="22" spans="1:23" x14ac:dyDescent="0.3">
      <c r="A22" s="4"/>
      <c r="B22" s="4"/>
      <c r="C22" s="4"/>
      <c r="D22" s="4"/>
      <c r="E22" s="4"/>
      <c r="F22" s="4"/>
      <c r="G22" s="4"/>
      <c r="H22" s="4"/>
      <c r="I22" s="4"/>
      <c r="J22" s="4"/>
      <c r="K22" s="4"/>
      <c r="L22" s="4"/>
      <c r="M22" s="4"/>
      <c r="N22" s="4"/>
      <c r="O22" s="4"/>
      <c r="P22" s="4"/>
      <c r="Q22" s="4"/>
      <c r="R22" s="4"/>
      <c r="S22" s="4"/>
      <c r="T22" s="4"/>
      <c r="U22" s="4"/>
      <c r="V22" s="4"/>
      <c r="W22" s="4"/>
    </row>
    <row r="23" spans="1:23" x14ac:dyDescent="0.3">
      <c r="A23" s="4"/>
      <c r="B23" s="4"/>
      <c r="C23" s="4"/>
      <c r="D23" s="4"/>
      <c r="E23" s="4"/>
      <c r="F23" s="4"/>
      <c r="G23" s="4"/>
      <c r="H23" s="4"/>
      <c r="I23" s="4"/>
      <c r="J23" s="4"/>
      <c r="K23" s="4"/>
      <c r="L23" s="4"/>
      <c r="M23" s="4"/>
      <c r="N23" s="4"/>
      <c r="O23" s="4"/>
      <c r="P23" s="4"/>
      <c r="Q23" s="4"/>
      <c r="R23" s="4"/>
      <c r="S23" s="4"/>
      <c r="T23" s="4"/>
      <c r="U23" s="4"/>
      <c r="V23" s="4"/>
      <c r="W23" s="4"/>
    </row>
    <row r="24" spans="1:23" x14ac:dyDescent="0.3">
      <c r="A24" s="4"/>
      <c r="B24" s="4"/>
      <c r="C24" s="4"/>
      <c r="D24" s="4"/>
      <c r="E24" s="4"/>
      <c r="F24" s="4"/>
      <c r="G24" s="4"/>
      <c r="H24" s="4"/>
      <c r="I24" s="4"/>
      <c r="J24" s="4"/>
      <c r="K24" s="4"/>
      <c r="L24" s="4"/>
      <c r="M24" s="4"/>
      <c r="N24" s="4"/>
      <c r="O24" s="4"/>
      <c r="P24" s="4"/>
      <c r="Q24" s="4"/>
      <c r="R24" s="4"/>
      <c r="S24" s="4"/>
      <c r="T24" s="4"/>
      <c r="U24" s="4"/>
      <c r="V24" s="4"/>
      <c r="W24" s="4"/>
    </row>
    <row r="25" spans="1:23" x14ac:dyDescent="0.3">
      <c r="A25" s="4"/>
      <c r="B25" s="4"/>
      <c r="C25" s="4"/>
      <c r="D25" s="4"/>
      <c r="E25" s="4"/>
      <c r="F25" s="4"/>
      <c r="G25" s="4"/>
      <c r="H25" s="4"/>
      <c r="I25" s="4"/>
      <c r="J25" s="4"/>
      <c r="K25" s="4"/>
      <c r="L25" s="4"/>
      <c r="M25" s="4"/>
      <c r="N25" s="4"/>
      <c r="O25" s="4"/>
      <c r="P25" s="4"/>
      <c r="Q25" s="4"/>
      <c r="R25" s="4"/>
      <c r="S25" s="4"/>
      <c r="T25" s="4"/>
      <c r="U25" s="4"/>
      <c r="V25" s="4"/>
      <c r="W25" s="4"/>
    </row>
    <row r="26" spans="1:23" x14ac:dyDescent="0.3">
      <c r="A26" s="4"/>
      <c r="B26" s="4"/>
      <c r="C26" s="4"/>
      <c r="D26" s="4"/>
      <c r="E26" s="4"/>
      <c r="F26" s="4"/>
      <c r="G26" s="4"/>
      <c r="H26" s="4"/>
      <c r="I26" s="4"/>
      <c r="J26" s="4"/>
      <c r="K26" s="4"/>
      <c r="L26" s="4"/>
      <c r="M26" s="4"/>
      <c r="N26" s="4"/>
      <c r="O26" s="4"/>
      <c r="P26" s="4"/>
      <c r="Q26" s="4"/>
      <c r="R26" s="4"/>
      <c r="S26" s="4"/>
      <c r="T26" s="4"/>
      <c r="U26" s="4"/>
      <c r="V26" s="4"/>
      <c r="W26" s="4"/>
    </row>
    <row r="27" spans="1:23" x14ac:dyDescent="0.3">
      <c r="A27" s="4"/>
      <c r="B27" s="4"/>
      <c r="C27" s="4"/>
      <c r="D27" s="4"/>
      <c r="E27" s="4"/>
      <c r="F27" s="4"/>
      <c r="G27" s="4"/>
      <c r="H27" s="4"/>
      <c r="I27" s="4"/>
      <c r="J27" s="4"/>
      <c r="K27" s="4"/>
      <c r="L27" s="4"/>
      <c r="M27" s="4"/>
      <c r="N27" s="4"/>
      <c r="O27" s="4"/>
      <c r="P27" s="4"/>
      <c r="Q27" s="4"/>
      <c r="R27" s="4"/>
      <c r="S27" s="4"/>
      <c r="T27" s="4"/>
      <c r="U27" s="4"/>
      <c r="V27" s="4"/>
      <c r="W27" s="4"/>
    </row>
  </sheetData>
  <sheetProtection algorithmName="SHA-512" hashValue="noVgH8vkcISMmYhKV6t47IdceUk8DAs1Tuket5q+68lwiZv6r2VPDEIH5UPrP3z5gfrdohuhuO2jlCqvii5l7A==" saltValue="rIHQXotVeM7FflduXy1mN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8202939-B4D7-4979-B09A-37C4D9F96887}">
  <ds:schemaRefs/>
</ds:datastoreItem>
</file>

<file path=customXml/itemProps2.xml><?xml version="1.0" encoding="utf-8"?>
<ds:datastoreItem xmlns:ds="http://schemas.openxmlformats.org/officeDocument/2006/customXml" ds:itemID="{558D372A-D2D0-4E15-A129-F2CEC43CE03F}">
  <ds:schemaRefs/>
</ds:datastoreItem>
</file>

<file path=customXml/itemProps3.xml><?xml version="1.0" encoding="utf-8"?>
<ds:datastoreItem xmlns:ds="http://schemas.openxmlformats.org/officeDocument/2006/customXml" ds:itemID="{07A6B66D-FCAC-42B2-B722-4F71E12D45D9}">
  <ds:schemaRefs/>
</ds:datastoreItem>
</file>

<file path=customXml/itemProps4.xml><?xml version="1.0" encoding="utf-8"?>
<ds:datastoreItem xmlns:ds="http://schemas.openxmlformats.org/officeDocument/2006/customXml" ds:itemID="{38970E12-0A33-48C8-A47B-4DC3B140CFDE}">
  <ds:schemaRefs/>
</ds:datastoreItem>
</file>

<file path=customXml/itemProps5.xml><?xml version="1.0" encoding="utf-8"?>
<ds:datastoreItem xmlns:ds="http://schemas.openxmlformats.org/officeDocument/2006/customXml" ds:itemID="{D03DDF18-90BA-4617-A6E0-B338BA528E55}">
  <ds:schemaRefs/>
</ds:datastoreItem>
</file>

<file path=customXml/itemProps6.xml><?xml version="1.0" encoding="utf-8"?>
<ds:datastoreItem xmlns:ds="http://schemas.openxmlformats.org/officeDocument/2006/customXml" ds:itemID="{2F28991E-E8C2-47EF-A8AD-1A1386302DF3}">
  <ds:schemaRefs/>
</ds:datastoreItem>
</file>

<file path=customXml/itemProps7.xml><?xml version="1.0" encoding="utf-8"?>
<ds:datastoreItem xmlns:ds="http://schemas.openxmlformats.org/officeDocument/2006/customXml" ds:itemID="{A5427B86-6A68-470D-89AE-35815EA3BA0C}">
  <ds:schemaRefs/>
</ds:datastoreItem>
</file>

<file path=customXml/itemProps8.xml><?xml version="1.0" encoding="utf-8"?>
<ds:datastoreItem xmlns:ds="http://schemas.openxmlformats.org/officeDocument/2006/customXml" ds:itemID="{0E22030D-8A76-4F18-A7F1-2E871E7421D8}">
  <ds:schemaRefs/>
</ds:datastoreItem>
</file>

<file path=customXml/itemProps9.xml><?xml version="1.0" encoding="utf-8"?>
<ds:datastoreItem xmlns:ds="http://schemas.openxmlformats.org/officeDocument/2006/customXml" ds:itemID="{9E89566F-D78C-4C87-8325-D39D59D6ED35}">
  <ds:schemaRefs/>
</ds:datastoreItem>
</file>

<file path=customXml/itemProps10.xml><?xml version="1.0" encoding="utf-8"?>
<ds:datastoreItem xmlns:ds="http://schemas.openxmlformats.org/officeDocument/2006/customXml" ds:itemID="{B0D8796F-CE40-444C-87FB-90A65F692E53}">
  <ds:schemaRefs/>
</ds:datastoreItem>
</file>

<file path=customXml/itemProps11.xml><?xml version="1.0" encoding="utf-8"?>
<ds:datastoreItem xmlns:ds="http://schemas.openxmlformats.org/officeDocument/2006/customXml" ds:itemID="{8ED1FC66-A936-44DF-98A8-048F62CF9BD7}">
  <ds:schemaRefs/>
</ds:datastoreItem>
</file>

<file path=customXml/itemProps12.xml><?xml version="1.0" encoding="utf-8"?>
<ds:datastoreItem xmlns:ds="http://schemas.openxmlformats.org/officeDocument/2006/customXml" ds:itemID="{2F434F8B-66CF-428E-8AF1-B282949FE66D}">
  <ds:schemaRefs/>
</ds:datastoreItem>
</file>

<file path=customXml/itemProps13.xml><?xml version="1.0" encoding="utf-8"?>
<ds:datastoreItem xmlns:ds="http://schemas.openxmlformats.org/officeDocument/2006/customXml" ds:itemID="{DEEBFD89-7781-42B3-AD94-BE6BF668CE05}">
  <ds:schemaRefs>
    <ds:schemaRef ds:uri="http://schemas.microsoft.com/DataMashup"/>
  </ds:schemaRefs>
</ds:datastoreItem>
</file>

<file path=customXml/itemProps14.xml><?xml version="1.0" encoding="utf-8"?>
<ds:datastoreItem xmlns:ds="http://schemas.openxmlformats.org/officeDocument/2006/customXml" ds:itemID="{8F3791A7-EBBB-4D9D-B530-5772C1F8B8AB}">
  <ds:schemaRefs/>
</ds:datastoreItem>
</file>

<file path=customXml/itemProps15.xml><?xml version="1.0" encoding="utf-8"?>
<ds:datastoreItem xmlns:ds="http://schemas.openxmlformats.org/officeDocument/2006/customXml" ds:itemID="{F1FDE95A-16EA-4A7C-BA57-41E37A660CDB}">
  <ds:schemaRefs/>
</ds:datastoreItem>
</file>

<file path=customXml/itemProps16.xml><?xml version="1.0" encoding="utf-8"?>
<ds:datastoreItem xmlns:ds="http://schemas.openxmlformats.org/officeDocument/2006/customXml" ds:itemID="{D19703C5-BF00-44A4-87EB-5DA1E1C92317}">
  <ds:schemaRefs/>
</ds:datastoreItem>
</file>

<file path=customXml/itemProps17.xml><?xml version="1.0" encoding="utf-8"?>
<ds:datastoreItem xmlns:ds="http://schemas.openxmlformats.org/officeDocument/2006/customXml" ds:itemID="{1A84E1BF-2A20-4D3C-8D5C-EB4374676197}">
  <ds:schemaRefs/>
</ds:datastoreItem>
</file>

<file path=customXml/itemProps18.xml><?xml version="1.0" encoding="utf-8"?>
<ds:datastoreItem xmlns:ds="http://schemas.openxmlformats.org/officeDocument/2006/customXml" ds:itemID="{2879A16F-3E6E-4157-8FBB-4231D42C48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vt:lpstr>
      <vt:lpstr>Average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Kumari</dc:creator>
  <cp:lastModifiedBy>Anshu Kumari</cp:lastModifiedBy>
  <dcterms:created xsi:type="dcterms:W3CDTF">2026-10-07T09:25:58Z</dcterms:created>
  <dcterms:modified xsi:type="dcterms:W3CDTF">2026-10-09T14:02:54Z</dcterms:modified>
</cp:coreProperties>
</file>